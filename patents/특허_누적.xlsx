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업체별 요약" sheetId="1" state="visible" r:id="rId3"/>
    <sheet name="특허목록" sheetId="2" state="visible" r:id="rId4"/>
    <sheet name="목록" sheetId="3" state="hidden" r:id="rId5"/>
    <sheet name="사용법" sheetId="4" state="visible" r:id="rId6"/>
  </sheets>
  <definedNames>
    <definedName function="false" hidden="true" localSheetId="1" name="_xlnm._FilterDatabase" vbProcedure="false">특허목록!$A$1:$O$1002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공개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출원 공개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등록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특허 등록</t>
        </r>
      </text>
    </comment>
    <comment ref="J1" authorId="0">
      <text>
        <r>
          <rPr>
            <sz val="10"/>
            <rFont val="WenQuanYi Zen Hei"/>
            <family val="2"/>
          </rPr>
          <t xml:space="preserve">임펠러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디퓨저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볼류트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에어포일 베어링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기타 베어링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자기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볼 등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회전체 구조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로터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축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임펠러 체결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로터다이내믹스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모터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냉각유로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모터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베어링 냉각 유로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WenQuanYi Zen Hei"/>
            <family val="2"/>
          </rPr>
          <t xml:space="preserve">제어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서지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시스템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기타</t>
        </r>
      </text>
    </comment>
    <comment ref="N1" authorId="0">
      <text>
        <r>
          <rPr>
            <sz val="10"/>
            <rFont val="WenQuanYi Zen Hei"/>
            <family val="2"/>
          </rPr>
          <t xml:space="preserve">검토자 입력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중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하</t>
        </r>
      </text>
    </comment>
  </commentList>
</comments>
</file>

<file path=xl/sharedStrings.xml><?xml version="1.0" encoding="utf-8"?>
<sst xmlns="http://schemas.openxmlformats.org/spreadsheetml/2006/main" count="198" uniqueCount="122">
  <si>
    <t xml:space="preserve">업체 × 설계 분야 누적 건수 (특허목록 시트에서 자동 집계)</t>
  </si>
  <si>
    <t xml:space="preserve">업체</t>
  </si>
  <si>
    <t xml:space="preserve">임펠러</t>
  </si>
  <si>
    <t xml:space="preserve">디퓨저·볼류트</t>
  </si>
  <si>
    <t xml:space="preserve">에어포일 베어링</t>
  </si>
  <si>
    <t xml:space="preserve">기타 베어링</t>
  </si>
  <si>
    <t xml:space="preserve">회전체 구조</t>
  </si>
  <si>
    <t xml:space="preserve">모터</t>
  </si>
  <si>
    <t xml:space="preserve">냉각유로</t>
  </si>
  <si>
    <t xml:space="preserve">제어·서지</t>
  </si>
  <si>
    <t xml:space="preserve">시스템</t>
  </si>
  <si>
    <t xml:space="preserve">기타</t>
  </si>
  <si>
    <t xml:space="preserve">합계</t>
  </si>
  <si>
    <t xml:space="preserve">중요도 '상'</t>
  </si>
  <si>
    <r>
      <rPr>
        <b val="true"/>
        <sz val="11"/>
        <rFont val="Arial"/>
        <family val="0"/>
        <charset val="1"/>
      </rPr>
      <t xml:space="preserve">LG</t>
    </r>
    <r>
      <rPr>
        <b val="true"/>
        <sz val="11"/>
        <rFont val="WenQuanYi Zen Hei"/>
        <family val="2"/>
      </rPr>
      <t xml:space="preserve">전자</t>
    </r>
  </si>
  <si>
    <t xml:space="preserve">댄포스</t>
  </si>
  <si>
    <t xml:space="preserve">코플랜드</t>
  </si>
  <si>
    <t xml:space="preserve">덴소</t>
  </si>
  <si>
    <t xml:space="preserve">다이킨</t>
  </si>
  <si>
    <t xml:space="preserve">티앤이코리아</t>
  </si>
  <si>
    <t xml:space="preserve">터보맥스</t>
  </si>
  <si>
    <t xml:space="preserve">보고일</t>
  </si>
  <si>
    <t xml:space="preserve">출원인(원문)</t>
  </si>
  <si>
    <t xml:space="preserve">국가</t>
  </si>
  <si>
    <t xml:space="preserve">공개/등록번호</t>
  </si>
  <si>
    <t xml:space="preserve">구분</t>
  </si>
  <si>
    <t xml:space="preserve">제목</t>
  </si>
  <si>
    <t xml:space="preserve">공개일</t>
  </si>
  <si>
    <t xml:space="preserve">출원일</t>
  </si>
  <si>
    <t xml:space="preserve">설계 분야</t>
  </si>
  <si>
    <t xml:space="preserve">용도</t>
  </si>
  <si>
    <t xml:space="preserve">핵심 내용(설계 관점)</t>
  </si>
  <si>
    <t xml:space="preserve">링크</t>
  </si>
  <si>
    <t xml:space="preserve">중요도</t>
  </si>
  <si>
    <t xml:space="preserve">검토 메모</t>
  </si>
  <si>
    <t xml:space="preserve">2026-10-26</t>
  </si>
  <si>
    <t xml:space="preserve">Danfoss</t>
  </si>
  <si>
    <t xml:space="preserve">WO</t>
  </si>
  <si>
    <t xml:space="preserve">WO2026024384A1</t>
  </si>
  <si>
    <t xml:space="preserve">공개</t>
  </si>
  <si>
    <t xml:space="preserve">Refrigerant compressor including configuration of axial and centrifugal stages</t>
  </si>
  <si>
    <t xml:space="preserve">2026-01-29</t>
  </si>
  <si>
    <t xml:space="preserve">2025-06-17</t>
  </si>
  <si>
    <t xml:space="preserve">냉매(칠러)</t>
  </si>
  <si>
    <t xml:space="preserve">[원문확인] 축 한쪽에 축류단→원심단, 반대쪽에 축류단→원심단을 배치한 4단 냉매 압축기(축류+원심 2쌍 배면 배치). 원심단 앞에 축류단을 두어 단당 부하를 나누는 구성.</t>
  </si>
  <si>
    <t xml:space="preserve">https://patents.google.com/patent/WO2026024384A1/en</t>
  </si>
  <si>
    <t xml:space="preserve">US</t>
  </si>
  <si>
    <t xml:space="preserve">US20240247686A1</t>
  </si>
  <si>
    <t xml:space="preserve">Refrigerant compressor including grooved auxiliary bearing interface</t>
  </si>
  <si>
    <t xml:space="preserve">2024-07-25</t>
  </si>
  <si>
    <t xml:space="preserve">2024-01-02</t>
  </si>
  <si>
    <t xml:space="preserve">[원문확인][참고] 자기베어링으로 축을 띄우는 냉매 압축기에서, 보조(터치다운) 베어링과 축 접촉면에 홈을 낸 구조. 착지 시 마찰·손상 저감 목적. ※이전 '2026-04 등록'은 오류, 2024-07 공개 출원임.</t>
  </si>
  <si>
    <t xml:space="preserve">https://patents.google.com/patent/US20240247686A1/en</t>
  </si>
  <si>
    <t xml:space="preserve">Daikin Industries</t>
  </si>
  <si>
    <t xml:space="preserve">JP</t>
  </si>
  <si>
    <t xml:space="preserve">JP2026061434A</t>
  </si>
  <si>
    <t xml:space="preserve">ターボ圧縮機及び冷凍装置 (터보 압축기 및 냉동 장치)</t>
  </si>
  <si>
    <t xml:space="preserve">2026-04-09</t>
  </si>
  <si>
    <t xml:space="preserve">2024-09-30</t>
  </si>
  <si>
    <t xml:space="preserve">[원문확인] 케이싱에 갭센서를 달아 임펠러 날개와 케이싱(슈라우드면) 사이 간극을 측정하고, 제어부가 그 값으로 간극 크기를 제어. 팁 간극 관리로 효율 확보.</t>
  </si>
  <si>
    <t xml:space="preserve">https://patents.google.com/patent/JP2026061434A/en</t>
  </si>
  <si>
    <t xml:space="preserve">Hamilton Sundstrand</t>
  </si>
  <si>
    <t xml:space="preserve">US12584521B2</t>
  </si>
  <si>
    <t xml:space="preserve">등록</t>
  </si>
  <si>
    <r>
      <rPr>
        <sz val="10"/>
        <rFont val="Arial"/>
        <family val="0"/>
        <charset val="1"/>
      </rPr>
      <t xml:space="preserve">Hybrid airfoil bearing with active damping (</t>
    </r>
    <r>
      <rPr>
        <sz val="10"/>
        <rFont val="WenQuanYi Zen Hei"/>
        <family val="2"/>
      </rPr>
      <t xml:space="preserve">제목 요지</t>
    </r>
    <r>
      <rPr>
        <sz val="10"/>
        <rFont val="Arial"/>
        <family val="0"/>
        <charset val="1"/>
      </rPr>
      <t xml:space="preserve">)</t>
    </r>
  </si>
  <si>
    <t xml:space="preserve">2026-03-24</t>
  </si>
  <si>
    <t xml:space="preserve">2023-07-31</t>
  </si>
  <si>
    <t xml:space="preserve">[원문확인] 수동 자기베어링(축·고정부에 내장)으로 반경 방향을 지지하고, 축과 함께 도는 자석이 고정 코일에 유도 전류를 만들어 축 자세 변화를 감지·감쇠하는 하이브리드 베어링. ※에어포일 베어링 아님(이전 분류 오류).</t>
  </si>
  <si>
    <t xml:space="preserve">https://patents.google.com/patent/US12584521B2/en</t>
  </si>
  <si>
    <t xml:space="preserve">T&amp;E Korea</t>
  </si>
  <si>
    <t xml:space="preserve">WO2025226066A1</t>
  </si>
  <si>
    <t xml:space="preserve">Journal foil air bearing for bidirectional rotation</t>
  </si>
  <si>
    <t xml:space="preserve">2025-10-30</t>
  </si>
  <si>
    <t xml:space="preserve">2025-04-24</t>
  </si>
  <si>
    <t xml:space="preserve">공기(블로어)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</si>
  <si>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원문확인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저널 포일 공기 베어링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탑포일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범프포일 양 끝을 </t>
    </r>
    <r>
      <rPr>
        <sz val="10"/>
        <rFont val="Arial"/>
        <family val="0"/>
        <charset val="1"/>
      </rPr>
      <t xml:space="preserve">'L'</t>
    </r>
    <r>
      <rPr>
        <sz val="10"/>
        <rFont val="WenQuanYi Zen Hei"/>
        <family val="2"/>
      </rPr>
      <t xml:space="preserve">자로 꺾어 고정부를 만들고 결합 구멍으로 고정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역 양방향 회전 대응</t>
    </r>
    <r>
      <rPr>
        <sz val="10"/>
        <rFont val="Arial"/>
        <family val="0"/>
        <charset val="1"/>
      </rPr>
      <t xml:space="preserve">.</t>
    </r>
  </si>
  <si>
    <t xml:space="preserve">https://patents.google.com/patent/WO2025226066A1/en</t>
  </si>
  <si>
    <t xml:space="preserve">US11009043B2</t>
  </si>
  <si>
    <t xml:space="preserve">Turbo compressor including intercooler</t>
  </si>
  <si>
    <t xml:space="preserve">2021-05-18</t>
  </si>
  <si>
    <t xml:space="preserve">2017-11-07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</si>
  <si>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원문확인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] 1</t>
    </r>
    <r>
      <rPr>
        <sz val="10"/>
        <rFont val="WenQuanYi Zen Hei"/>
        <family val="2"/>
      </rPr>
      <t xml:space="preserve">단</t>
    </r>
    <r>
      <rPr>
        <sz val="10"/>
        <rFont val="Arial"/>
        <family val="0"/>
        <charset val="1"/>
      </rPr>
      <t xml:space="preserve">·2</t>
    </r>
    <r>
      <rPr>
        <sz val="10"/>
        <rFont val="WenQuanYi Zen Hei"/>
        <family val="2"/>
      </rPr>
      <t xml:space="preserve">단 임펠러를 모터 양단에 단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 터보 압축기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하우징 안에 인터쿨러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공기 유로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냉각 유로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넣어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 압축 공기를 식힌 뒤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단으로 보냄</t>
    </r>
    <r>
      <rPr>
        <sz val="10"/>
        <rFont val="Arial"/>
        <family val="0"/>
        <charset val="1"/>
      </rPr>
      <t xml:space="preserve">.</t>
    </r>
  </si>
  <si>
    <t xml:space="preserve">https://patents.google.com/patent/US11009043B2/en</t>
  </si>
  <si>
    <r>
      <rPr>
        <sz val="10"/>
        <rFont val="Arial"/>
        <family val="0"/>
        <charset val="1"/>
      </rPr>
      <t xml:space="preserve">LG</t>
    </r>
    <r>
      <rPr>
        <sz val="10"/>
        <rFont val="WenQuanYi Zen Hei"/>
        <family val="2"/>
      </rPr>
      <t xml:space="preserve">전자</t>
    </r>
  </si>
  <si>
    <t xml:space="preserve">LG Electronics</t>
  </si>
  <si>
    <t xml:space="preserve">US11193529B2</t>
  </si>
  <si>
    <t xml:space="preserve">Thrust bearing for turbo compressor</t>
  </si>
  <si>
    <t xml:space="preserve">2021-12-07</t>
  </si>
  <si>
    <t xml:space="preserve">2020-03-09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</si>
  <si>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원문확인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스러스트 러너 회전 시 변형이 큰 부위에 맞춰 범프포일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탑포일 구조를 바꾼 포일 스러스트 베어링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유막 두께를 일정하게 유지해 부하 지지력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내구성 향상</t>
    </r>
    <r>
      <rPr>
        <sz val="10"/>
        <rFont val="Arial"/>
        <family val="0"/>
        <charset val="1"/>
      </rPr>
      <t xml:space="preserve">. ※</t>
    </r>
    <r>
      <rPr>
        <sz val="10"/>
        <rFont val="WenQuanYi Zen Hei"/>
        <family val="2"/>
      </rPr>
      <t xml:space="preserve">분류를 에어포일 베어링으로 수정</t>
    </r>
    <r>
      <rPr>
        <sz val="10"/>
        <rFont val="Arial"/>
        <family val="0"/>
        <charset val="1"/>
      </rPr>
      <t xml:space="preserve">.</t>
    </r>
  </si>
  <si>
    <t xml:space="preserve">https://patents.google.com/patent/US11193529</t>
  </si>
  <si>
    <t xml:space="preserve">Copeland</t>
  </si>
  <si>
    <t xml:space="preserve">US12180974B2</t>
  </si>
  <si>
    <t xml:space="preserve">Variable inlet guide vane apparatus and compressor including same</t>
  </si>
  <si>
    <t xml:space="preserve">2024-12-31</t>
  </si>
  <si>
    <t xml:space="preserve">2022-03-24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</si>
  <si>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원문확인</t>
    </r>
    <r>
      <rPr>
        <sz val="10"/>
        <rFont val="Arial"/>
        <family val="0"/>
        <charset val="1"/>
      </rPr>
      <t xml:space="preserve">][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] 1·2 </t>
    </r>
    <r>
      <rPr>
        <sz val="10"/>
        <rFont val="WenQuanYi Zen Hei"/>
        <family val="2"/>
      </rPr>
      <t xml:space="preserve">하우징 사이에 가이드 베인 축</t>
    </r>
    <r>
      <rPr>
        <sz val="10"/>
        <rFont val="Arial"/>
        <family val="0"/>
        <charset val="1"/>
      </rPr>
      <t xml:space="preserve">(stem)</t>
    </r>
    <r>
      <rPr>
        <sz val="10"/>
        <rFont val="WenQuanYi Zen Hei"/>
        <family val="2"/>
      </rPr>
      <t xml:space="preserve">을 끼우고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하우징 밖 링기어로 베인 기어를 돌려 각도를 바꾸는 가변 </t>
    </r>
    <r>
      <rPr>
        <sz val="10"/>
        <rFont val="Arial"/>
        <family val="0"/>
        <charset val="1"/>
      </rPr>
      <t xml:space="preserve">IGV. </t>
    </r>
    <r>
      <rPr>
        <sz val="10"/>
        <rFont val="WenQuanYi Zen Hei"/>
        <family val="2"/>
      </rPr>
      <t xml:space="preserve">축방향 이동 제한 구조 포함</t>
    </r>
    <r>
      <rPr>
        <sz val="10"/>
        <rFont val="Arial"/>
        <family val="0"/>
        <charset val="1"/>
      </rPr>
      <t xml:space="preserve">.</t>
    </r>
  </si>
  <si>
    <t xml:space="preserve">https://patents.google.com/patent/US12180974B2/en</t>
  </si>
  <si>
    <t xml:space="preserve">TurboMAX</t>
  </si>
  <si>
    <t xml:space="preserve">KR</t>
  </si>
  <si>
    <t xml:space="preserve">KR101705784B1</t>
  </si>
  <si>
    <t xml:space="preserve">축하중 저감 구조를 갖는 터보블로어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</si>
  <si>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원문 미확인 </t>
    </r>
    <r>
      <rPr>
        <sz val="10"/>
        <rFont val="Arial"/>
        <family val="0"/>
        <charset val="1"/>
      </rPr>
      <t xml:space="preserve">- Google </t>
    </r>
    <r>
      <rPr>
        <sz val="10"/>
        <rFont val="WenQuanYi Zen Hei"/>
        <family val="2"/>
      </rPr>
      <t xml:space="preserve">일시 차단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냉각팬 압력으로 앞쪽 축하중을 상쇄하는 터보블로어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검색 요약 기준</t>
    </r>
    <r>
      <rPr>
        <sz val="10"/>
        <rFont val="Arial"/>
        <family val="0"/>
        <charset val="1"/>
      </rPr>
      <t xml:space="preserve">).</t>
    </r>
  </si>
  <si>
    <t xml:space="preserve">https://patents.google.com/patent/KR101705784B1/en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</si>
  <si>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전자</t>
    </r>
  </si>
  <si>
    <t xml:space="preserve">상</t>
  </si>
  <si>
    <t xml:space="preserve">중</t>
  </si>
  <si>
    <t xml:space="preserve">냉매(히트펌프)</t>
  </si>
  <si>
    <t xml:space="preserve">하</t>
  </si>
  <si>
    <t xml:space="preserve">EP</t>
  </si>
  <si>
    <t xml:space="preserve">차량·연료전지</t>
  </si>
  <si>
    <t xml:space="preserve">CN</t>
  </si>
  <si>
    <t xml:space="preserve">DE</t>
  </si>
  <si>
    <t xml:space="preserve">터보(원심) 압축기 특허 누적 목록</t>
  </si>
  <si>
    <t xml:space="preserve">■ 시트 구성</t>
  </si>
  <si>
    <r>
      <rPr>
        <sz val="10"/>
        <rFont val="Arial"/>
        <family val="0"/>
        <charset val="1"/>
      </rPr>
      <t xml:space="preserve">  · </t>
    </r>
    <r>
      <rPr>
        <sz val="10"/>
        <rFont val="WenQuanYi Zen Hei"/>
        <family val="2"/>
      </rPr>
      <t xml:space="preserve">업체별 요약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업체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설계 분야 건수가 자동으로 계산됩니다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직접 입력 </t>
    </r>
    <r>
      <rPr>
        <sz val="10"/>
        <rFont val="Arial"/>
        <family val="0"/>
        <charset val="1"/>
      </rPr>
      <t xml:space="preserve">X).</t>
    </r>
  </si>
  <si>
    <r>
      <rPr>
        <sz val="10"/>
        <rFont val="Arial"/>
        <family val="0"/>
        <charset val="1"/>
      </rPr>
      <t xml:space="preserve">  · </t>
    </r>
    <r>
      <rPr>
        <sz val="10"/>
        <rFont val="WenQuanYi Zen Hei"/>
        <family val="2"/>
      </rPr>
      <t xml:space="preserve">특허목록   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매주 월요일 새 특허가 아래로 계속 추가됩니다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이번 주 추가분은 연두색으로 표시</t>
    </r>
    <r>
      <rPr>
        <sz val="10"/>
        <rFont val="Arial"/>
        <family val="0"/>
        <charset val="1"/>
      </rPr>
      <t xml:space="preserve">.</t>
    </r>
  </si>
  <si>
    <t xml:space="preserve">■ 누가 무엇을 채우나</t>
  </si>
  <si>
    <r>
      <rPr>
        <sz val="10"/>
        <rFont val="Arial"/>
        <family val="0"/>
        <charset val="1"/>
      </rPr>
      <t xml:space="preserve">  · A~M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파란 머리글</t>
    </r>
    <r>
      <rPr>
        <sz val="10"/>
        <rFont val="Arial"/>
        <family val="0"/>
        <charset val="1"/>
      </rPr>
      <t xml:space="preserve">) : Claude</t>
    </r>
    <r>
      <rPr>
        <sz val="10"/>
        <rFont val="WenQuanYi Zen Hei"/>
        <family val="2"/>
      </rPr>
      <t xml:space="preserve">가 매주 자동 입력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</si>
  <si>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· N~O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노란 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금색 머리글</t>
    </r>
    <r>
      <rPr>
        <sz val="10"/>
        <rFont val="Arial"/>
        <family val="0"/>
        <charset val="1"/>
      </rPr>
      <t xml:space="preserve">) : </t>
    </r>
    <r>
      <rPr>
        <sz val="10"/>
        <rFont val="WenQuanYi Zen Hei"/>
        <family val="2"/>
      </rPr>
      <t xml:space="preserve">검토자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본인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중요도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메모를 입력</t>
    </r>
    <r>
      <rPr>
        <sz val="10"/>
        <rFont val="Arial"/>
        <family val="0"/>
        <charset val="1"/>
      </rPr>
      <t xml:space="preserve">.</t>
    </r>
  </si>
  <si>
    <t xml:space="preserve">■ 드롭다운(선택 목록) 칸 : 업체, 국가, 구분, 설계 분야, 용도, 중요도</t>
  </si>
  <si>
    <t xml:space="preserve">■ 머리글에 필터가 걸려 있어 업체·설계 분야·중요도로 걸러 볼 수 있습니다.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</si>
</sst>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  <charset val="1"/>
    </font>
    <font>
      <b val="true"/>
      <sz val="11"/>
      <color rgb="FFFFFFFF"/>
      <name val="WenQuanYi Zen Hei"/>
      <family val="2"/>
      <charset val="1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sz val="10"/>
      <name val="Arial"/>
      <family val="0"/>
      <charset val="1"/>
    </font>
    <font>
      <b val="true"/>
      <sz val="11"/>
      <name val="WenQuanYi Zen Hei"/>
      <family val="2"/>
      <charset val="1"/>
    </font>
    <font>
      <sz val="10"/>
      <name val="WenQuanYi Zen Hei"/>
      <family val="2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theme="1"/>
      <name val="WenQuanYi Zen Hei"/>
      <family val="2"/>
    </font>
    <font>
      <sz val="11"/>
      <color theme="1"/>
      <name val="WenQuanYi Zen Hei"/>
      <family val="2"/>
      <charset val="1"/>
    </font>
    <font>
      <b val="true"/>
      <sz val="10"/>
      <name val="WenQuanYi Zen Hei"/>
      <family val="2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2" t="s">
        <v>0</v>
      </c>
    </row>
    <row r="3" customFormat="false" ht="30" hidden="false" customHeight="tru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  <c r="M3" s="5" t="s">
        <v>13</v>
      </c>
    </row>
    <row r="4" customFormat="false" ht="15" hidden="false" customHeight="true" outlineLevel="0" collapsed="false">
      <c r="A4" s="6" t="s">
        <v>14</v>
      </c>
      <c r="B4" s="7" t="n">
        <f aca="false">COUNTIFS(특허목록!$B:$B,$A4,특허목록!$J:$J,B$3)</f>
        <v>0</v>
      </c>
      <c r="C4" s="7" t="n">
        <f aca="false">COUNTIFS(특허목록!$B:$B,$A4,특허목록!$J:$J,C$3)</f>
        <v>0</v>
      </c>
      <c r="D4" s="7" t="n">
        <f aca="false">COUNTIFS(특허목록!$B:$B,$A4,특허목록!$J:$J,D$3)</f>
        <v>1</v>
      </c>
      <c r="E4" s="7" t="n">
        <f aca="false">COUNTIFS(특허목록!$B:$B,$A4,특허목록!$J:$J,E$3)</f>
        <v>0</v>
      </c>
      <c r="F4" s="7" t="n">
        <f aca="false">COUNTIFS(특허목록!$B:$B,$A4,특허목록!$J:$J,F$3)</f>
        <v>0</v>
      </c>
      <c r="G4" s="7" t="n">
        <f aca="false">COUNTIFS(특허목록!$B:$B,$A4,특허목록!$J:$J,G$3)</f>
        <v>0</v>
      </c>
      <c r="H4" s="7" t="n">
        <f aca="false">COUNTIFS(특허목록!$B:$B,$A4,특허목록!$J:$J,H$3)</f>
        <v>0</v>
      </c>
      <c r="I4" s="7" t="n">
        <f aca="false">COUNTIFS(특허목록!$B:$B,$A4,특허목록!$J:$J,I$3)</f>
        <v>0</v>
      </c>
      <c r="J4" s="7" t="n">
        <f aca="false">COUNTIFS(특허목록!$B:$B,$A4,특허목록!$J:$J,J$3)</f>
        <v>0</v>
      </c>
      <c r="K4" s="7" t="n">
        <f aca="false">COUNTIFS(특허목록!$B:$B,$A4,특허목록!$J:$J,K$3)</f>
        <v>0</v>
      </c>
      <c r="L4" s="8" t="n">
        <f aca="false">SUM(B4:K4)</f>
        <v>1</v>
      </c>
      <c r="M4" s="8" t="n">
        <f aca="false">COUNTIFS(특허목록!$B:$B,$A4,특허목록!$N:$N,"상")</f>
        <v>0</v>
      </c>
    </row>
    <row r="5" customFormat="false" ht="15" hidden="false" customHeight="true" outlineLevel="0" collapsed="false">
      <c r="A5" s="9" t="s">
        <v>15</v>
      </c>
      <c r="B5" s="7" t="n">
        <f aca="false">COUNTIFS(특허목록!$B:$B,$A5,특허목록!$J:$J,B$3)</f>
        <v>0</v>
      </c>
      <c r="C5" s="7" t="n">
        <f aca="false">COUNTIFS(특허목록!$B:$B,$A5,특허목록!$J:$J,C$3)</f>
        <v>0</v>
      </c>
      <c r="D5" s="7" t="n">
        <f aca="false">COUNTIFS(특허목록!$B:$B,$A5,특허목록!$J:$J,D$3)</f>
        <v>0</v>
      </c>
      <c r="E5" s="7" t="n">
        <f aca="false">COUNTIFS(특허목록!$B:$B,$A5,특허목록!$J:$J,E$3)</f>
        <v>1</v>
      </c>
      <c r="F5" s="7" t="n">
        <f aca="false">COUNTIFS(특허목록!$B:$B,$A5,특허목록!$J:$J,F$3)</f>
        <v>0</v>
      </c>
      <c r="G5" s="7" t="n">
        <f aca="false">COUNTIFS(특허목록!$B:$B,$A5,특허목록!$J:$J,G$3)</f>
        <v>0</v>
      </c>
      <c r="H5" s="7" t="n">
        <f aca="false">COUNTIFS(특허목록!$B:$B,$A5,특허목록!$J:$J,H$3)</f>
        <v>0</v>
      </c>
      <c r="I5" s="7" t="n">
        <f aca="false">COUNTIFS(특허목록!$B:$B,$A5,특허목록!$J:$J,I$3)</f>
        <v>0</v>
      </c>
      <c r="J5" s="7" t="n">
        <f aca="false">COUNTIFS(특허목록!$B:$B,$A5,특허목록!$J:$J,J$3)</f>
        <v>1</v>
      </c>
      <c r="K5" s="7" t="n">
        <f aca="false">COUNTIFS(특허목록!$B:$B,$A5,특허목록!$J:$J,K$3)</f>
        <v>0</v>
      </c>
      <c r="L5" s="8" t="n">
        <f aca="false">SUM(B5:K5)</f>
        <v>2</v>
      </c>
      <c r="M5" s="8" t="n">
        <f aca="false">COUNTIFS(특허목록!$B:$B,$A5,특허목록!$N:$N,"상")</f>
        <v>0</v>
      </c>
    </row>
    <row r="6" customFormat="false" ht="15" hidden="false" customHeight="true" outlineLevel="0" collapsed="false">
      <c r="A6" s="9" t="s">
        <v>16</v>
      </c>
      <c r="B6" s="7" t="n">
        <f aca="false">COUNTIFS(특허목록!$B:$B,$A6,특허목록!$J:$J,B$3)</f>
        <v>0</v>
      </c>
      <c r="C6" s="7" t="n">
        <f aca="false">COUNTIFS(특허목록!$B:$B,$A6,특허목록!$J:$J,C$3)</f>
        <v>0</v>
      </c>
      <c r="D6" s="7" t="n">
        <f aca="false">COUNTIFS(특허목록!$B:$B,$A6,특허목록!$J:$J,D$3)</f>
        <v>0</v>
      </c>
      <c r="E6" s="7" t="n">
        <f aca="false">COUNTIFS(특허목록!$B:$B,$A6,특허목록!$J:$J,E$3)</f>
        <v>0</v>
      </c>
      <c r="F6" s="7" t="n">
        <f aca="false">COUNTIFS(특허목록!$B:$B,$A6,특허목록!$J:$J,F$3)</f>
        <v>0</v>
      </c>
      <c r="G6" s="7" t="n">
        <f aca="false">COUNTIFS(특허목록!$B:$B,$A6,특허목록!$J:$J,G$3)</f>
        <v>0</v>
      </c>
      <c r="H6" s="7" t="n">
        <f aca="false">COUNTIFS(특허목록!$B:$B,$A6,특허목록!$J:$J,H$3)</f>
        <v>0</v>
      </c>
      <c r="I6" s="7" t="n">
        <f aca="false">COUNTIFS(특허목록!$B:$B,$A6,특허목록!$J:$J,I$3)</f>
        <v>1</v>
      </c>
      <c r="J6" s="7" t="n">
        <f aca="false">COUNTIFS(특허목록!$B:$B,$A6,특허목록!$J:$J,J$3)</f>
        <v>0</v>
      </c>
      <c r="K6" s="7" t="n">
        <f aca="false">COUNTIFS(특허목록!$B:$B,$A6,특허목록!$J:$J,K$3)</f>
        <v>0</v>
      </c>
      <c r="L6" s="8" t="n">
        <f aca="false">SUM(B6:K6)</f>
        <v>1</v>
      </c>
      <c r="M6" s="8" t="n">
        <f aca="false">COUNTIFS(특허목록!$B:$B,$A6,특허목록!$N:$N,"상")</f>
        <v>0</v>
      </c>
    </row>
    <row r="7" customFormat="false" ht="15" hidden="false" customHeight="true" outlineLevel="0" collapsed="false">
      <c r="A7" s="9" t="s">
        <v>17</v>
      </c>
      <c r="B7" s="7" t="n">
        <f aca="false">COUNTIFS(특허목록!$B:$B,$A7,특허목록!$J:$J,B$3)</f>
        <v>0</v>
      </c>
      <c r="C7" s="7" t="n">
        <f aca="false">COUNTIFS(특허목록!$B:$B,$A7,특허목록!$J:$J,C$3)</f>
        <v>0</v>
      </c>
      <c r="D7" s="7" t="n">
        <f aca="false">COUNTIFS(특허목록!$B:$B,$A7,특허목록!$J:$J,D$3)</f>
        <v>0</v>
      </c>
      <c r="E7" s="7" t="n">
        <f aca="false">COUNTIFS(특허목록!$B:$B,$A7,특허목록!$J:$J,E$3)</f>
        <v>0</v>
      </c>
      <c r="F7" s="7" t="n">
        <f aca="false">COUNTIFS(특허목록!$B:$B,$A7,특허목록!$J:$J,F$3)</f>
        <v>0</v>
      </c>
      <c r="G7" s="7" t="n">
        <f aca="false">COUNTIFS(특허목록!$B:$B,$A7,특허목록!$J:$J,G$3)</f>
        <v>0</v>
      </c>
      <c r="H7" s="7" t="n">
        <f aca="false">COUNTIFS(특허목록!$B:$B,$A7,특허목록!$J:$J,H$3)</f>
        <v>0</v>
      </c>
      <c r="I7" s="7" t="n">
        <f aca="false">COUNTIFS(특허목록!$B:$B,$A7,특허목록!$J:$J,I$3)</f>
        <v>0</v>
      </c>
      <c r="J7" s="7" t="n">
        <f aca="false">COUNTIFS(특허목록!$B:$B,$A7,특허목록!$J:$J,J$3)</f>
        <v>0</v>
      </c>
      <c r="K7" s="7" t="n">
        <f aca="false">COUNTIFS(특허목록!$B:$B,$A7,특허목록!$J:$J,K$3)</f>
        <v>0</v>
      </c>
      <c r="L7" s="8" t="n">
        <f aca="false">SUM(B7:K7)</f>
        <v>0</v>
      </c>
      <c r="M7" s="8" t="n">
        <f aca="false">COUNTIFS(특허목록!$B:$B,$A7,특허목록!$N:$N,"상")</f>
        <v>0</v>
      </c>
    </row>
    <row r="8" customFormat="false" ht="15" hidden="false" customHeight="true" outlineLevel="0" collapsed="false">
      <c r="A8" s="9" t="s">
        <v>18</v>
      </c>
      <c r="B8" s="7" t="n">
        <f aca="false">COUNTIFS(특허목록!$B:$B,$A8,특허목록!$J:$J,B$3)</f>
        <v>1</v>
      </c>
      <c r="C8" s="7" t="n">
        <f aca="false">COUNTIFS(특허목록!$B:$B,$A8,특허목록!$J:$J,C$3)</f>
        <v>0</v>
      </c>
      <c r="D8" s="7" t="n">
        <f aca="false">COUNTIFS(특허목록!$B:$B,$A8,특허목록!$J:$J,D$3)</f>
        <v>0</v>
      </c>
      <c r="E8" s="7" t="n">
        <f aca="false">COUNTIFS(특허목록!$B:$B,$A8,특허목록!$J:$J,E$3)</f>
        <v>0</v>
      </c>
      <c r="F8" s="7" t="n">
        <f aca="false">COUNTIFS(특허목록!$B:$B,$A8,특허목록!$J:$J,F$3)</f>
        <v>0</v>
      </c>
      <c r="G8" s="7" t="n">
        <f aca="false">COUNTIFS(특허목록!$B:$B,$A8,특허목록!$J:$J,G$3)</f>
        <v>0</v>
      </c>
      <c r="H8" s="7" t="n">
        <f aca="false">COUNTIFS(특허목록!$B:$B,$A8,특허목록!$J:$J,H$3)</f>
        <v>0</v>
      </c>
      <c r="I8" s="7" t="n">
        <f aca="false">COUNTIFS(특허목록!$B:$B,$A8,특허목록!$J:$J,I$3)</f>
        <v>0</v>
      </c>
      <c r="J8" s="7" t="n">
        <f aca="false">COUNTIFS(특허목록!$B:$B,$A8,특허목록!$J:$J,J$3)</f>
        <v>0</v>
      </c>
      <c r="K8" s="7" t="n">
        <f aca="false">COUNTIFS(특허목록!$B:$B,$A8,특허목록!$J:$J,K$3)</f>
        <v>0</v>
      </c>
      <c r="L8" s="8" t="n">
        <f aca="false">SUM(B8:K8)</f>
        <v>1</v>
      </c>
      <c r="M8" s="8" t="n">
        <f aca="false">COUNTIFS(특허목록!$B:$B,$A8,특허목록!$N:$N,"상")</f>
        <v>0</v>
      </c>
    </row>
    <row r="9" customFormat="false" ht="15" hidden="false" customHeight="true" outlineLevel="0" collapsed="false">
      <c r="A9" s="9" t="s">
        <v>19</v>
      </c>
      <c r="B9" s="7" t="n">
        <f aca="false">COUNTIFS(특허목록!$B:$B,$A9,특허목록!$J:$J,B$3)</f>
        <v>0</v>
      </c>
      <c r="C9" s="7" t="n">
        <f aca="false">COUNTIFS(특허목록!$B:$B,$A9,특허목록!$J:$J,C$3)</f>
        <v>0</v>
      </c>
      <c r="D9" s="7" t="n">
        <f aca="false">COUNTIFS(특허목록!$B:$B,$A9,특허목록!$J:$J,D$3)</f>
        <v>1</v>
      </c>
      <c r="E9" s="7" t="n">
        <f aca="false">COUNTIFS(특허목록!$B:$B,$A9,특허목록!$J:$J,E$3)</f>
        <v>0</v>
      </c>
      <c r="F9" s="7" t="n">
        <f aca="false">COUNTIFS(특허목록!$B:$B,$A9,특허목록!$J:$J,F$3)</f>
        <v>0</v>
      </c>
      <c r="G9" s="7" t="n">
        <f aca="false">COUNTIFS(특허목록!$B:$B,$A9,특허목록!$J:$J,G$3)</f>
        <v>0</v>
      </c>
      <c r="H9" s="7" t="n">
        <f aca="false">COUNTIFS(특허목록!$B:$B,$A9,특허목록!$J:$J,H$3)</f>
        <v>1</v>
      </c>
      <c r="I9" s="7" t="n">
        <f aca="false">COUNTIFS(특허목록!$B:$B,$A9,특허목록!$J:$J,I$3)</f>
        <v>0</v>
      </c>
      <c r="J9" s="7" t="n">
        <f aca="false">COUNTIFS(특허목록!$B:$B,$A9,특허목록!$J:$J,J$3)</f>
        <v>0</v>
      </c>
      <c r="K9" s="7" t="n">
        <f aca="false">COUNTIFS(특허목록!$B:$B,$A9,특허목록!$J:$J,K$3)</f>
        <v>0</v>
      </c>
      <c r="L9" s="8" t="n">
        <f aca="false">SUM(B9:K9)</f>
        <v>2</v>
      </c>
      <c r="M9" s="8" t="n">
        <f aca="false">COUNTIFS(특허목록!$B:$B,$A9,특허목록!$N:$N,"상")</f>
        <v>0</v>
      </c>
    </row>
    <row r="10" customFormat="false" ht="15" hidden="false" customHeight="true" outlineLevel="0" collapsed="false">
      <c r="A10" s="9" t="s">
        <v>20</v>
      </c>
      <c r="B10" s="7" t="n">
        <f aca="false">COUNTIFS(특허목록!$B:$B,$A10,특허목록!$J:$J,B$3)</f>
        <v>0</v>
      </c>
      <c r="C10" s="7" t="n">
        <f aca="false">COUNTIFS(특허목록!$B:$B,$A10,특허목록!$J:$J,C$3)</f>
        <v>0</v>
      </c>
      <c r="D10" s="7" t="n">
        <f aca="false">COUNTIFS(특허목록!$B:$B,$A10,특허목록!$J:$J,D$3)</f>
        <v>0</v>
      </c>
      <c r="E10" s="7" t="n">
        <f aca="false">COUNTIFS(특허목록!$B:$B,$A10,특허목록!$J:$J,E$3)</f>
        <v>0</v>
      </c>
      <c r="F10" s="7" t="n">
        <f aca="false">COUNTIFS(특허목록!$B:$B,$A10,특허목록!$J:$J,F$3)</f>
        <v>1</v>
      </c>
      <c r="G10" s="7" t="n">
        <f aca="false">COUNTIFS(특허목록!$B:$B,$A10,특허목록!$J:$J,G$3)</f>
        <v>0</v>
      </c>
      <c r="H10" s="7" t="n">
        <f aca="false">COUNTIFS(특허목록!$B:$B,$A10,특허목록!$J:$J,H$3)</f>
        <v>0</v>
      </c>
      <c r="I10" s="7" t="n">
        <f aca="false">COUNTIFS(특허목록!$B:$B,$A10,특허목록!$J:$J,I$3)</f>
        <v>0</v>
      </c>
      <c r="J10" s="7" t="n">
        <f aca="false">COUNTIFS(특허목록!$B:$B,$A10,특허목록!$J:$J,J$3)</f>
        <v>0</v>
      </c>
      <c r="K10" s="7" t="n">
        <f aca="false">COUNTIFS(특허목록!$B:$B,$A10,특허목록!$J:$J,K$3)</f>
        <v>0</v>
      </c>
      <c r="L10" s="8" t="n">
        <f aca="false">SUM(B10:K10)</f>
        <v>1</v>
      </c>
      <c r="M10" s="8" t="n">
        <f aca="false">COUNTIFS(특허목록!$B:$B,$A10,특허목록!$N:$N,"상")</f>
        <v>0</v>
      </c>
    </row>
    <row r="11" customFormat="false" ht="15" hidden="false" customHeight="true" outlineLevel="0" collapsed="false">
      <c r="A11" s="9" t="s">
        <v>11</v>
      </c>
      <c r="B11" s="7" t="n">
        <f aca="false">COUNTIFS(특허목록!$B:$B,$A11,특허목록!$J:$J,B$3)</f>
        <v>0</v>
      </c>
      <c r="C11" s="7" t="n">
        <f aca="false">COUNTIFS(특허목록!$B:$B,$A11,특허목록!$J:$J,C$3)</f>
        <v>0</v>
      </c>
      <c r="D11" s="7" t="n">
        <f aca="false">COUNTIFS(특허목록!$B:$B,$A11,특허목록!$J:$J,D$3)</f>
        <v>0</v>
      </c>
      <c r="E11" s="7" t="n">
        <f aca="false">COUNTIFS(특허목록!$B:$B,$A11,특허목록!$J:$J,E$3)</f>
        <v>1</v>
      </c>
      <c r="F11" s="7" t="n">
        <f aca="false">COUNTIFS(특허목록!$B:$B,$A11,특허목록!$J:$J,F$3)</f>
        <v>0</v>
      </c>
      <c r="G11" s="7" t="n">
        <f aca="false">COUNTIFS(특허목록!$B:$B,$A11,특허목록!$J:$J,G$3)</f>
        <v>0</v>
      </c>
      <c r="H11" s="7" t="n">
        <f aca="false">COUNTIFS(특허목록!$B:$B,$A11,특허목록!$J:$J,H$3)</f>
        <v>0</v>
      </c>
      <c r="I11" s="7" t="n">
        <f aca="false">COUNTIFS(특허목록!$B:$B,$A11,특허목록!$J:$J,I$3)</f>
        <v>0</v>
      </c>
      <c r="J11" s="7" t="n">
        <f aca="false">COUNTIFS(특허목록!$B:$B,$A11,특허목록!$J:$J,J$3)</f>
        <v>0</v>
      </c>
      <c r="K11" s="7" t="n">
        <f aca="false">COUNTIFS(특허목록!$B:$B,$A11,특허목록!$J:$J,K$3)</f>
        <v>0</v>
      </c>
      <c r="L11" s="8" t="n">
        <f aca="false">SUM(B11:K11)</f>
        <v>1</v>
      </c>
      <c r="M11" s="8" t="n">
        <f aca="false">COUNTIFS(특허목록!$B:$B,$A11,특허목록!$N:$N,"상")</f>
        <v>0</v>
      </c>
    </row>
    <row r="12" customFormat="false" ht="15" hidden="false" customHeight="true" outlineLevel="0" collapsed="false">
      <c r="A12" s="10" t="s">
        <v>12</v>
      </c>
      <c r="B12" s="11" t="n">
        <f aca="false">SUM(B4:B11)</f>
        <v>1</v>
      </c>
      <c r="C12" s="11" t="n">
        <f aca="false">SUM(C4:C11)</f>
        <v>0</v>
      </c>
      <c r="D12" s="11" t="n">
        <f aca="false">SUM(D4:D11)</f>
        <v>2</v>
      </c>
      <c r="E12" s="11" t="n">
        <f aca="false">SUM(E4:E11)</f>
        <v>2</v>
      </c>
      <c r="F12" s="11" t="n">
        <f aca="false">SUM(F4:F11)</f>
        <v>1</v>
      </c>
      <c r="G12" s="11" t="n">
        <f aca="false">SUM(G4:G11)</f>
        <v>0</v>
      </c>
      <c r="H12" s="11" t="n">
        <f aca="false">SUM(H4:H11)</f>
        <v>1</v>
      </c>
      <c r="I12" s="11" t="n">
        <f aca="false">SUM(I4:I11)</f>
        <v>1</v>
      </c>
      <c r="J12" s="11" t="n">
        <f aca="false">SUM(J4:J11)</f>
        <v>1</v>
      </c>
      <c r="K12" s="11" t="n">
        <f aca="false">SUM(K4:K11)</f>
        <v>0</v>
      </c>
      <c r="L12" s="11" t="n">
        <f aca="false">SUM(L4:L11)</f>
        <v>9</v>
      </c>
      <c r="M12" s="11" t="n">
        <f aca="false">SUM(M4:M11)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7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7" min="7" style="1" width="34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50"/>
    <col collapsed="false" customWidth="true" hidden="false" outlineLevel="0" max="13" min="13" style="1" width="30"/>
    <col collapsed="false" customWidth="true" hidden="false" outlineLevel="0" max="14" min="14" style="1" width="8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12" t="s">
        <v>21</v>
      </c>
      <c r="B1" s="12" t="s">
        <v>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3" t="s">
        <v>33</v>
      </c>
      <c r="O1" s="13" t="s">
        <v>34</v>
      </c>
    </row>
    <row r="2" customFormat="false" ht="15" hidden="false" customHeight="true" outlineLevel="0" collapsed="false">
      <c r="A2" s="14" t="s">
        <v>35</v>
      </c>
      <c r="B2" s="15" t="s">
        <v>15</v>
      </c>
      <c r="C2" s="14" t="s">
        <v>36</v>
      </c>
      <c r="D2" s="14" t="s">
        <v>37</v>
      </c>
      <c r="E2" s="14" t="s">
        <v>38</v>
      </c>
      <c r="F2" s="15" t="s">
        <v>39</v>
      </c>
      <c r="G2" s="14" t="s">
        <v>40</v>
      </c>
      <c r="H2" s="14" t="s">
        <v>41</v>
      </c>
      <c r="I2" s="14" t="s">
        <v>42</v>
      </c>
      <c r="J2" s="15" t="s">
        <v>10</v>
      </c>
      <c r="K2" s="15" t="s">
        <v>43</v>
      </c>
      <c r="L2" s="15" t="s">
        <v>44</v>
      </c>
      <c r="M2" s="14" t="s">
        <v>45</v>
      </c>
      <c r="N2" s="16"/>
      <c r="O2" s="16"/>
    </row>
    <row r="3" customFormat="false" ht="15" hidden="false" customHeight="true" outlineLevel="0" collapsed="false">
      <c r="A3" s="14" t="s">
        <v>35</v>
      </c>
      <c r="B3" s="15" t="s">
        <v>15</v>
      </c>
      <c r="C3" s="14" t="s">
        <v>36</v>
      </c>
      <c r="D3" s="14" t="s">
        <v>46</v>
      </c>
      <c r="E3" s="14" t="s">
        <v>47</v>
      </c>
      <c r="F3" s="15" t="s">
        <v>39</v>
      </c>
      <c r="G3" s="14" t="s">
        <v>48</v>
      </c>
      <c r="H3" s="14" t="s">
        <v>49</v>
      </c>
      <c r="I3" s="14" t="s">
        <v>50</v>
      </c>
      <c r="J3" s="15" t="s">
        <v>5</v>
      </c>
      <c r="K3" s="15" t="s">
        <v>43</v>
      </c>
      <c r="L3" s="15" t="s">
        <v>51</v>
      </c>
      <c r="M3" s="14" t="s">
        <v>52</v>
      </c>
      <c r="N3" s="16"/>
      <c r="O3" s="16"/>
    </row>
    <row r="4" customFormat="false" ht="15" hidden="false" customHeight="true" outlineLevel="0" collapsed="false">
      <c r="A4" s="14" t="s">
        <v>35</v>
      </c>
      <c r="B4" s="15" t="s">
        <v>18</v>
      </c>
      <c r="C4" s="14" t="s">
        <v>53</v>
      </c>
      <c r="D4" s="14" t="s">
        <v>54</v>
      </c>
      <c r="E4" s="14" t="s">
        <v>55</v>
      </c>
      <c r="F4" s="15" t="s">
        <v>39</v>
      </c>
      <c r="G4" s="15" t="s">
        <v>56</v>
      </c>
      <c r="H4" s="14" t="s">
        <v>57</v>
      </c>
      <c r="I4" s="14" t="s">
        <v>58</v>
      </c>
      <c r="J4" s="15" t="s">
        <v>2</v>
      </c>
      <c r="K4" s="15" t="s">
        <v>43</v>
      </c>
      <c r="L4" s="15" t="s">
        <v>59</v>
      </c>
      <c r="M4" s="14" t="s">
        <v>60</v>
      </c>
      <c r="N4" s="16"/>
      <c r="O4" s="16"/>
    </row>
    <row r="5" customFormat="false" ht="15" hidden="false" customHeight="true" outlineLevel="0" collapsed="false">
      <c r="A5" s="14" t="s">
        <v>35</v>
      </c>
      <c r="B5" s="15" t="s">
        <v>11</v>
      </c>
      <c r="C5" s="14" t="s">
        <v>61</v>
      </c>
      <c r="D5" s="14" t="s">
        <v>46</v>
      </c>
      <c r="E5" s="14" t="s">
        <v>62</v>
      </c>
      <c r="F5" s="15" t="s">
        <v>63</v>
      </c>
      <c r="G5" s="14" t="s">
        <v>64</v>
      </c>
      <c r="H5" s="14" t="s">
        <v>65</v>
      </c>
      <c r="I5" s="14" t="s">
        <v>66</v>
      </c>
      <c r="J5" s="15" t="s">
        <v>5</v>
      </c>
      <c r="K5" s="15" t="s">
        <v>11</v>
      </c>
      <c r="L5" s="15" t="s">
        <v>67</v>
      </c>
      <c r="M5" s="14" t="s">
        <v>68</v>
      </c>
      <c r="N5" s="16"/>
      <c r="O5" s="16"/>
    </row>
    <row r="6" customFormat="false" ht="15" hidden="false" customHeight="true" outlineLevel="0" collapsed="false">
      <c r="A6" s="14" t="s">
        <v>35</v>
      </c>
      <c r="B6" s="15" t="s">
        <v>19</v>
      </c>
      <c r="C6" s="14" t="s">
        <v>69</v>
      </c>
      <c r="D6" s="14" t="s">
        <v>37</v>
      </c>
      <c r="E6" s="14" t="s">
        <v>70</v>
      </c>
      <c r="F6" s="15" t="s">
        <v>39</v>
      </c>
      <c r="G6" s="14" t="s">
        <v>71</v>
      </c>
      <c r="H6" s="14" t="s">
        <v>72</v>
      </c>
      <c r="I6" s="14" t="s">
        <v>73</v>
      </c>
      <c r="J6" s="15" t="s">
        <v>4</v>
      </c>
      <c r="K6" s="15" t="s">
        <v>74</v>
      </c>
      <c r="L6" s="14" t="s">
        <v>75</v>
      </c>
      <c r="M6" s="14" t="s">
        <v>76</v>
      </c>
      <c r="N6" s="16"/>
      <c r="O6" s="16"/>
    </row>
    <row r="7" customFormat="false" ht="15" hidden="false" customHeight="true" outlineLevel="0" collapsed="false">
      <c r="A7" s="14" t="s">
        <v>35</v>
      </c>
      <c r="B7" s="15" t="s">
        <v>19</v>
      </c>
      <c r="C7" s="14" t="s">
        <v>69</v>
      </c>
      <c r="D7" s="14" t="s">
        <v>46</v>
      </c>
      <c r="E7" s="14" t="s">
        <v>77</v>
      </c>
      <c r="F7" s="15" t="s">
        <v>63</v>
      </c>
      <c r="G7" s="14" t="s">
        <v>78</v>
      </c>
      <c r="H7" s="14" t="s">
        <v>79</v>
      </c>
      <c r="I7" s="14" t="s">
        <v>80</v>
      </c>
      <c r="J7" s="15" t="s">
        <v>8</v>
      </c>
      <c r="K7" s="15" t="s">
        <v>74</v>
      </c>
      <c r="L7" s="14" t="s">
        <v>81</v>
      </c>
      <c r="M7" s="14" t="s">
        <v>82</v>
      </c>
      <c r="N7" s="16"/>
      <c r="O7" s="16"/>
    </row>
    <row r="8" customFormat="false" ht="15" hidden="false" customHeight="true" outlineLevel="0" collapsed="false">
      <c r="A8" s="14" t="s">
        <v>35</v>
      </c>
      <c r="B8" s="14" t="s">
        <v>83</v>
      </c>
      <c r="C8" s="14" t="s">
        <v>84</v>
      </c>
      <c r="D8" s="14" t="s">
        <v>46</v>
      </c>
      <c r="E8" s="14" t="s">
        <v>85</v>
      </c>
      <c r="F8" s="15" t="s">
        <v>63</v>
      </c>
      <c r="G8" s="14" t="s">
        <v>86</v>
      </c>
      <c r="H8" s="14" t="s">
        <v>87</v>
      </c>
      <c r="I8" s="14" t="s">
        <v>88</v>
      </c>
      <c r="J8" s="15" t="s">
        <v>4</v>
      </c>
      <c r="K8" s="15" t="s">
        <v>43</v>
      </c>
      <c r="L8" s="14" t="s">
        <v>89</v>
      </c>
      <c r="M8" s="14" t="s">
        <v>90</v>
      </c>
      <c r="N8" s="16"/>
      <c r="O8" s="16"/>
    </row>
    <row r="9" customFormat="false" ht="15" hidden="false" customHeight="true" outlineLevel="0" collapsed="false">
      <c r="A9" s="14" t="s">
        <v>35</v>
      </c>
      <c r="B9" s="15" t="s">
        <v>16</v>
      </c>
      <c r="C9" s="14" t="s">
        <v>91</v>
      </c>
      <c r="D9" s="14" t="s">
        <v>46</v>
      </c>
      <c r="E9" s="14" t="s">
        <v>92</v>
      </c>
      <c r="F9" s="15" t="s">
        <v>63</v>
      </c>
      <c r="G9" s="14" t="s">
        <v>93</v>
      </c>
      <c r="H9" s="14" t="s">
        <v>94</v>
      </c>
      <c r="I9" s="14" t="s">
        <v>95</v>
      </c>
      <c r="J9" s="15" t="s">
        <v>9</v>
      </c>
      <c r="K9" s="15" t="s">
        <v>43</v>
      </c>
      <c r="L9" s="14" t="s">
        <v>96</v>
      </c>
      <c r="M9" s="14" t="s">
        <v>97</v>
      </c>
      <c r="N9" s="16"/>
      <c r="O9" s="16"/>
    </row>
    <row r="10" customFormat="false" ht="15" hidden="false" customHeight="true" outlineLevel="0" collapsed="false">
      <c r="A10" s="14" t="s">
        <v>35</v>
      </c>
      <c r="B10" s="15" t="s">
        <v>20</v>
      </c>
      <c r="C10" s="14" t="s">
        <v>98</v>
      </c>
      <c r="D10" s="14" t="s">
        <v>99</v>
      </c>
      <c r="E10" s="14" t="s">
        <v>100</v>
      </c>
      <c r="F10" s="15" t="s">
        <v>63</v>
      </c>
      <c r="G10" s="15" t="s">
        <v>101</v>
      </c>
      <c r="H10" s="14"/>
      <c r="I10" s="14"/>
      <c r="J10" s="15" t="s">
        <v>6</v>
      </c>
      <c r="K10" s="15" t="s">
        <v>74</v>
      </c>
      <c r="L10" s="14" t="s">
        <v>102</v>
      </c>
      <c r="M10" s="14" t="s">
        <v>103</v>
      </c>
      <c r="N10" s="16"/>
      <c r="O10" s="16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  <c r="O11" s="16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  <c r="O12" s="16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  <c r="O13" s="16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6"/>
      <c r="O14" s="16"/>
    </row>
    <row r="15" customFormat="false" ht="1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  <c r="O15" s="16"/>
    </row>
    <row r="16" customFormat="false" ht="1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  <c r="O16" s="16"/>
    </row>
    <row r="17" customFormat="false" ht="1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  <c r="O17" s="16"/>
    </row>
    <row r="18" customFormat="false" ht="1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  <c r="O18" s="16"/>
    </row>
    <row r="19" customFormat="false" ht="1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  <c r="O19" s="16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  <c r="O20" s="16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  <c r="O21" s="16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  <c r="O22" s="16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6"/>
      <c r="O23" s="16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6"/>
      <c r="O24" s="16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6"/>
      <c r="O25" s="16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/>
      <c r="O26" s="16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/>
      <c r="O27" s="16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6"/>
      <c r="O28" s="16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/>
      <c r="O29" s="16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/>
      <c r="O30" s="16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6"/>
      <c r="O31" s="16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/>
      <c r="O32" s="16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6"/>
      <c r="O33" s="16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/>
      <c r="O34" s="16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/>
      <c r="O35" s="16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/>
      <c r="O36" s="16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6"/>
      <c r="O37" s="16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6"/>
      <c r="O38" s="16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6"/>
      <c r="O39" s="16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6"/>
      <c r="O40" s="16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6"/>
      <c r="O41" s="16"/>
    </row>
    <row r="42" customFormat="false" ht="1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/>
      <c r="O42" s="16"/>
    </row>
    <row r="43" customFormat="false" ht="1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  <c r="O43" s="16"/>
    </row>
    <row r="44" customFormat="false" ht="1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/>
      <c r="O44" s="16"/>
    </row>
    <row r="45" customFormat="false" ht="1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6"/>
      <c r="O45" s="16"/>
    </row>
    <row r="46" customFormat="false" ht="1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6"/>
      <c r="O46" s="16"/>
    </row>
    <row r="47" customFormat="false" ht="1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6"/>
      <c r="O47" s="16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6"/>
      <c r="O48" s="16"/>
    </row>
    <row r="49" customFormat="false" ht="1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6"/>
      <c r="O49" s="16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/>
      <c r="O50" s="16"/>
    </row>
    <row r="51" customFormat="false" ht="1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6"/>
    </row>
    <row r="52" customFormat="false" ht="1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6"/>
    </row>
    <row r="53" customFormat="false" ht="1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6"/>
      <c r="O53" s="16"/>
    </row>
    <row r="54" customFormat="false" ht="1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6"/>
    </row>
    <row r="55" customFormat="false" ht="1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6"/>
      <c r="O55" s="16"/>
    </row>
    <row r="56" customFormat="false" ht="1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6"/>
      <c r="O56" s="16"/>
    </row>
    <row r="57" customFormat="false" ht="1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6"/>
      <c r="O57" s="16"/>
    </row>
    <row r="58" customFormat="false" ht="1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6"/>
      <c r="O58" s="16"/>
    </row>
    <row r="59" customFormat="false" ht="1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6"/>
      <c r="O59" s="16"/>
    </row>
    <row r="60" customFormat="false" ht="1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6"/>
      <c r="O60" s="16"/>
    </row>
    <row r="61" customFormat="false" ht="1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6"/>
      <c r="O61" s="16"/>
    </row>
    <row r="62" customFormat="false" ht="1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6"/>
      <c r="O62" s="16"/>
    </row>
    <row r="63" customFormat="false" ht="1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6"/>
      <c r="O63" s="16"/>
    </row>
    <row r="64" customFormat="false" ht="1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/>
      <c r="O64" s="16"/>
    </row>
    <row r="65" customFormat="false" ht="1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/>
      <c r="O65" s="16"/>
    </row>
    <row r="66" customFormat="false" ht="1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/>
      <c r="O66" s="16"/>
    </row>
    <row r="67" customFormat="false" ht="15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6"/>
      <c r="O67" s="16"/>
    </row>
    <row r="68" customFormat="false" ht="1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6"/>
      <c r="O68" s="16"/>
    </row>
    <row r="69" customFormat="false" ht="15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6"/>
      <c r="O69" s="16"/>
    </row>
    <row r="70" customFormat="false" ht="1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6"/>
      <c r="O70" s="16"/>
    </row>
    <row r="71" customFormat="false" ht="15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6"/>
      <c r="O71" s="16"/>
    </row>
    <row r="72" customFormat="false" ht="1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6"/>
      <c r="O72" s="16"/>
    </row>
    <row r="73" customFormat="false" ht="15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/>
      <c r="O73" s="16"/>
    </row>
    <row r="74" customFormat="false" ht="1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  <c r="O74" s="16"/>
    </row>
    <row r="75" customFormat="false" ht="15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6"/>
      <c r="O75" s="16"/>
    </row>
    <row r="76" customFormat="false" ht="1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6"/>
      <c r="O76" s="16"/>
    </row>
    <row r="77" customFormat="false" ht="15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6"/>
      <c r="O77" s="16"/>
    </row>
    <row r="78" customFormat="false" ht="1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6"/>
      <c r="O78" s="16"/>
    </row>
    <row r="79" customFormat="false" ht="1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6"/>
      <c r="O79" s="16"/>
    </row>
    <row r="80" customFormat="false" ht="15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6"/>
      <c r="O80" s="16"/>
    </row>
    <row r="81" customFormat="false" ht="15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6"/>
      <c r="O81" s="16"/>
    </row>
    <row r="82" customFormat="false" ht="15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6"/>
      <c r="O82" s="16"/>
    </row>
    <row r="83" customFormat="false" ht="15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/>
      <c r="O83" s="16"/>
    </row>
    <row r="84" customFormat="false" ht="1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6"/>
      <c r="O84" s="16"/>
    </row>
    <row r="85" customFormat="false" ht="15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/>
      <c r="O85" s="16"/>
    </row>
    <row r="86" customFormat="false" ht="1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/>
      <c r="O86" s="16"/>
    </row>
    <row r="87" customFormat="false" ht="15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/>
      <c r="O87" s="16"/>
    </row>
    <row r="88" customFormat="false" ht="15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6"/>
      <c r="O88" s="16"/>
    </row>
    <row r="89" customFormat="false" ht="15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6"/>
      <c r="O89" s="16"/>
    </row>
    <row r="90" customFormat="false" ht="15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6"/>
      <c r="O90" s="16"/>
    </row>
    <row r="91" customFormat="false" ht="15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6"/>
      <c r="O91" s="16"/>
    </row>
    <row r="92" customFormat="false" ht="1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6"/>
      <c r="O92" s="16"/>
    </row>
    <row r="93" customFormat="false" ht="15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6"/>
      <c r="O93" s="16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6"/>
      <c r="O94" s="16"/>
    </row>
    <row r="95" customFormat="false" ht="15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6"/>
      <c r="O95" s="16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6"/>
      <c r="O96" s="16"/>
    </row>
    <row r="97" customFormat="false" ht="15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6"/>
      <c r="O97" s="16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6"/>
      <c r="O98" s="16"/>
    </row>
    <row r="99" customFormat="false" ht="15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6"/>
      <c r="O99" s="16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6"/>
      <c r="O100" s="16"/>
    </row>
    <row r="101" customFormat="false" ht="15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6"/>
      <c r="O101" s="16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6"/>
      <c r="O102" s="16"/>
    </row>
    <row r="103" customFormat="false" ht="15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6"/>
      <c r="O103" s="16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6"/>
      <c r="O104" s="16"/>
    </row>
    <row r="105" customFormat="false" ht="1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6"/>
      <c r="O105" s="16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6"/>
      <c r="O106" s="16"/>
    </row>
    <row r="107" customFormat="false" ht="15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6"/>
      <c r="O107" s="16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6"/>
      <c r="O108" s="16"/>
    </row>
    <row r="109" customFormat="false" ht="15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6"/>
      <c r="O109" s="16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6"/>
      <c r="O110" s="16"/>
    </row>
    <row r="111" customFormat="false" ht="15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6"/>
      <c r="O111" s="16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6"/>
      <c r="O112" s="16"/>
    </row>
    <row r="113" customFormat="false" ht="1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6"/>
      <c r="O113" s="16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6"/>
      <c r="O114" s="16"/>
    </row>
    <row r="115" customFormat="false" ht="1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6"/>
      <c r="O115" s="16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6"/>
      <c r="O116" s="16"/>
    </row>
    <row r="117" customFormat="false" ht="1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6"/>
      <c r="O117" s="16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6"/>
      <c r="O118" s="16"/>
    </row>
    <row r="119" customFormat="false" ht="1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6"/>
      <c r="O119" s="16"/>
    </row>
    <row r="120" customFormat="false" ht="1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6"/>
      <c r="O120" s="16"/>
    </row>
    <row r="121" customFormat="false" ht="1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6"/>
      <c r="O121" s="16"/>
    </row>
    <row r="122" customFormat="false" ht="1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6"/>
      <c r="O122" s="16"/>
    </row>
    <row r="123" customFormat="false" ht="1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6"/>
      <c r="O123" s="16"/>
    </row>
    <row r="124" customFormat="false" ht="1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6"/>
      <c r="O124" s="16"/>
    </row>
    <row r="125" customFormat="false" ht="1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6"/>
      <c r="O125" s="16"/>
    </row>
    <row r="126" customFormat="false" ht="1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6"/>
      <c r="O126" s="16"/>
    </row>
    <row r="127" customFormat="false" ht="15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6"/>
      <c r="O127" s="16"/>
    </row>
    <row r="128" customFormat="false" ht="1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6"/>
      <c r="O128" s="16"/>
    </row>
    <row r="129" customFormat="false" ht="15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6"/>
      <c r="O129" s="16"/>
    </row>
    <row r="130" customFormat="false" ht="1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6"/>
      <c r="O130" s="16"/>
    </row>
    <row r="131" customFormat="false" ht="15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6"/>
      <c r="O131" s="16"/>
    </row>
    <row r="132" customFormat="false" ht="1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6"/>
      <c r="O132" s="16"/>
    </row>
    <row r="133" customFormat="false" ht="15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6"/>
      <c r="O133" s="16"/>
    </row>
    <row r="134" customFormat="false" ht="1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6"/>
      <c r="O134" s="16"/>
    </row>
    <row r="135" customFormat="false" ht="15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6"/>
      <c r="O135" s="16"/>
    </row>
    <row r="136" customFormat="false" ht="1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6"/>
      <c r="O136" s="16"/>
    </row>
    <row r="137" customFormat="false" ht="15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6"/>
      <c r="O137" s="16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6"/>
      <c r="O138" s="16"/>
    </row>
    <row r="139" customFormat="false" ht="1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6"/>
      <c r="O139" s="16"/>
    </row>
    <row r="140" customFormat="false" ht="1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6"/>
      <c r="O140" s="16"/>
    </row>
    <row r="141" customFormat="false" ht="15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6"/>
      <c r="O141" s="16"/>
    </row>
    <row r="142" customFormat="false" ht="1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6"/>
      <c r="O142" s="16"/>
    </row>
    <row r="143" customFormat="false" ht="15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6"/>
      <c r="O143" s="16"/>
    </row>
    <row r="144" customFormat="false" ht="1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6"/>
      <c r="O144" s="16"/>
    </row>
    <row r="145" customFormat="false" ht="15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6"/>
      <c r="O145" s="16"/>
    </row>
    <row r="146" customFormat="false" ht="1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6"/>
      <c r="O146" s="16"/>
    </row>
    <row r="147" customFormat="false" ht="15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6"/>
      <c r="O147" s="16"/>
    </row>
    <row r="148" customFormat="false" ht="1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6"/>
      <c r="O148" s="16"/>
    </row>
    <row r="149" customFormat="false" ht="15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6"/>
      <c r="O149" s="16"/>
    </row>
    <row r="150" customFormat="false" ht="1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6"/>
      <c r="O150" s="16"/>
    </row>
    <row r="151" customFormat="false" ht="15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6"/>
      <c r="O151" s="16"/>
    </row>
    <row r="152" customFormat="false" ht="1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6"/>
      <c r="O152" s="16"/>
    </row>
    <row r="153" customFormat="false" ht="15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6"/>
      <c r="O153" s="16"/>
    </row>
    <row r="154" customFormat="false" ht="1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6"/>
      <c r="O154" s="16"/>
    </row>
    <row r="155" customFormat="false" ht="15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6"/>
      <c r="O155" s="16"/>
    </row>
    <row r="156" customFormat="false" ht="1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6"/>
      <c r="O156" s="16"/>
    </row>
    <row r="157" customFormat="false" ht="1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6"/>
      <c r="O157" s="16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6"/>
      <c r="O158" s="16"/>
    </row>
    <row r="159" customFormat="false" ht="1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6"/>
      <c r="O159" s="16"/>
    </row>
    <row r="160" customFormat="false" ht="1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6"/>
      <c r="O160" s="16"/>
    </row>
    <row r="161" customFormat="false" ht="15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6"/>
      <c r="O161" s="16"/>
    </row>
    <row r="162" customFormat="false" ht="1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6"/>
      <c r="O162" s="16"/>
    </row>
    <row r="163" customFormat="false" ht="15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6"/>
      <c r="O163" s="16"/>
    </row>
    <row r="164" customFormat="false" ht="1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6"/>
      <c r="O164" s="16"/>
    </row>
    <row r="165" customFormat="false" ht="15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6"/>
      <c r="O165" s="16"/>
    </row>
    <row r="166" customFormat="false" ht="1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6"/>
      <c r="O166" s="16"/>
    </row>
    <row r="167" customFormat="false" ht="15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6"/>
      <c r="O167" s="16"/>
    </row>
    <row r="168" customFormat="false" ht="1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6"/>
      <c r="O168" s="16"/>
    </row>
    <row r="169" customFormat="false" ht="15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6"/>
      <c r="O169" s="16"/>
    </row>
    <row r="170" customFormat="false" ht="1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6"/>
      <c r="O170" s="16"/>
    </row>
    <row r="171" customFormat="false" ht="1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6"/>
      <c r="O171" s="16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6"/>
      <c r="O172" s="16"/>
    </row>
    <row r="173" customFormat="false" ht="1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6"/>
      <c r="O173" s="16"/>
    </row>
    <row r="174" customFormat="false" ht="1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6"/>
      <c r="O174" s="16"/>
    </row>
    <row r="175" customFormat="false" ht="1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6"/>
      <c r="O175" s="16"/>
    </row>
    <row r="176" customFormat="false" ht="1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6"/>
      <c r="O176" s="16"/>
    </row>
    <row r="177" customFormat="false" ht="1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6"/>
      <c r="O177" s="16"/>
    </row>
    <row r="178" customFormat="false" ht="1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6"/>
      <c r="O178" s="16"/>
    </row>
    <row r="179" customFormat="false" ht="1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6"/>
      <c r="O179" s="16"/>
    </row>
    <row r="180" customFormat="false" ht="1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6"/>
      <c r="O180" s="16"/>
    </row>
    <row r="181" customFormat="false" ht="1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6"/>
      <c r="O181" s="16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6"/>
      <c r="O182" s="16"/>
    </row>
    <row r="183" customFormat="false" ht="1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6"/>
      <c r="O183" s="16"/>
    </row>
    <row r="184" customFormat="false" ht="1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6"/>
      <c r="O184" s="16"/>
    </row>
    <row r="185" customFormat="false" ht="1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6"/>
      <c r="O185" s="16"/>
    </row>
    <row r="186" customFormat="false" ht="1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6"/>
      <c r="O186" s="16"/>
    </row>
    <row r="187" customFormat="false" ht="1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6"/>
      <c r="O187" s="16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6"/>
      <c r="O188" s="16"/>
    </row>
    <row r="189" customFormat="false" ht="1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6"/>
      <c r="O189" s="16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6"/>
      <c r="O190" s="16"/>
    </row>
    <row r="191" customFormat="false" ht="1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6"/>
      <c r="O191" s="16"/>
    </row>
    <row r="192" customFormat="false" ht="1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6"/>
      <c r="O192" s="16"/>
    </row>
    <row r="193" customFormat="false" ht="1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6"/>
      <c r="O193" s="16"/>
    </row>
    <row r="194" customFormat="false" ht="1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6"/>
      <c r="O194" s="16"/>
    </row>
    <row r="195" customFormat="false" ht="1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6"/>
      <c r="O195" s="16"/>
    </row>
    <row r="196" customFormat="false" ht="1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6"/>
      <c r="O196" s="16"/>
    </row>
    <row r="197" customFormat="false" ht="1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6"/>
      <c r="O197" s="16"/>
    </row>
    <row r="198" customFormat="false" ht="1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6"/>
      <c r="O198" s="16"/>
    </row>
    <row r="199" customFormat="false" ht="1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6"/>
      <c r="O199" s="16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6"/>
      <c r="O200" s="16"/>
    </row>
    <row r="201" customFormat="false" ht="1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6"/>
      <c r="O201" s="16"/>
    </row>
    <row r="202" customFormat="false" ht="1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6"/>
      <c r="O202" s="16"/>
    </row>
    <row r="203" customFormat="false" ht="1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6"/>
      <c r="O203" s="16"/>
    </row>
    <row r="204" customFormat="false" ht="1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6"/>
      <c r="O204" s="16"/>
    </row>
    <row r="205" customFormat="false" ht="15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6"/>
      <c r="O205" s="16"/>
    </row>
    <row r="206" customFormat="false" ht="1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6"/>
      <c r="O206" s="16"/>
    </row>
    <row r="207" customFormat="false" ht="1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6"/>
      <c r="O207" s="16"/>
    </row>
    <row r="208" customFormat="false" ht="1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6"/>
      <c r="O208" s="16"/>
    </row>
    <row r="209" customFormat="false" ht="15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6"/>
      <c r="O209" s="16"/>
    </row>
    <row r="210" customFormat="false" ht="1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6"/>
      <c r="O210" s="16"/>
    </row>
    <row r="211" customFormat="false" ht="15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6"/>
      <c r="O211" s="16"/>
    </row>
    <row r="212" customFormat="false" ht="15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6"/>
      <c r="O212" s="16"/>
    </row>
    <row r="213" customFormat="false" ht="15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6"/>
      <c r="O213" s="16"/>
    </row>
    <row r="214" customFormat="false" ht="1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6"/>
      <c r="O214" s="16"/>
    </row>
    <row r="215" customFormat="false" ht="15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6"/>
      <c r="O215" s="16"/>
    </row>
    <row r="216" customFormat="false" ht="1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6"/>
      <c r="O216" s="16"/>
    </row>
    <row r="217" customFormat="false" ht="15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6"/>
      <c r="O217" s="16"/>
    </row>
    <row r="218" customFormat="false" ht="15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6"/>
      <c r="O218" s="16"/>
    </row>
    <row r="219" customFormat="false" ht="15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6"/>
      <c r="O219" s="16"/>
    </row>
    <row r="220" customFormat="false" ht="15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6"/>
      <c r="O220" s="16"/>
    </row>
    <row r="221" customFormat="false" ht="15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6"/>
      <c r="O221" s="16"/>
    </row>
    <row r="222" customFormat="false" ht="15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6"/>
      <c r="O222" s="16"/>
    </row>
    <row r="223" customFormat="false" ht="15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6"/>
      <c r="O223" s="16"/>
    </row>
    <row r="224" customFormat="false" ht="15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6"/>
      <c r="O224" s="16"/>
    </row>
    <row r="225" customFormat="false" ht="15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6"/>
      <c r="O225" s="16"/>
    </row>
    <row r="226" customFormat="false" ht="15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6"/>
      <c r="O226" s="16"/>
    </row>
    <row r="227" customFormat="false" ht="15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6"/>
      <c r="O227" s="16"/>
    </row>
    <row r="228" customFormat="false" ht="15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6"/>
      <c r="O228" s="16"/>
    </row>
    <row r="229" customFormat="false" ht="15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6"/>
      <c r="O229" s="16"/>
    </row>
    <row r="230" customFormat="false" ht="15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6"/>
      <c r="O230" s="16"/>
    </row>
    <row r="231" customFormat="false" ht="15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6"/>
      <c r="O231" s="16"/>
    </row>
    <row r="232" customFormat="false" ht="15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6"/>
      <c r="O232" s="16"/>
    </row>
    <row r="233" customFormat="false" ht="15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6"/>
      <c r="O233" s="16"/>
    </row>
    <row r="234" customFormat="false" ht="15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6"/>
      <c r="O234" s="16"/>
    </row>
    <row r="235" customFormat="false" ht="15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6"/>
      <c r="O235" s="16"/>
    </row>
    <row r="236" customFormat="false" ht="15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6"/>
      <c r="O236" s="16"/>
    </row>
    <row r="237" customFormat="false" ht="15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6"/>
      <c r="O237" s="16"/>
    </row>
    <row r="238" customFormat="false" ht="15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6"/>
      <c r="O238" s="16"/>
    </row>
    <row r="239" customFormat="false" ht="15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6"/>
      <c r="O239" s="16"/>
    </row>
    <row r="240" customFormat="false" ht="15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6"/>
      <c r="O240" s="16"/>
    </row>
    <row r="241" customFormat="false" ht="15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6"/>
      <c r="O241" s="16"/>
    </row>
    <row r="242" customFormat="false" ht="15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6"/>
      <c r="O242" s="16"/>
    </row>
    <row r="243" customFormat="false" ht="15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6"/>
      <c r="O243" s="16"/>
    </row>
    <row r="244" customFormat="false" ht="15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6"/>
      <c r="O244" s="16"/>
    </row>
    <row r="245" customFormat="false" ht="15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6"/>
      <c r="O245" s="16"/>
    </row>
    <row r="246" customFormat="false" ht="15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6"/>
      <c r="O246" s="16"/>
    </row>
    <row r="247" customFormat="false" ht="15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6"/>
      <c r="O247" s="16"/>
    </row>
    <row r="248" customFormat="false" ht="15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6"/>
      <c r="O248" s="16"/>
    </row>
    <row r="249" customFormat="false" ht="15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6"/>
      <c r="O249" s="16"/>
    </row>
    <row r="250" customFormat="false" ht="15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6"/>
      <c r="O250" s="16"/>
    </row>
    <row r="251" customFormat="false" ht="15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6"/>
      <c r="O251" s="16"/>
    </row>
    <row r="252" customFormat="false" ht="15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6"/>
      <c r="O252" s="16"/>
    </row>
    <row r="253" customFormat="false" ht="15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6"/>
      <c r="O253" s="16"/>
    </row>
    <row r="254" customFormat="false" ht="15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6"/>
      <c r="O254" s="16"/>
    </row>
    <row r="255" customFormat="false" ht="15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6"/>
      <c r="O255" s="16"/>
    </row>
    <row r="256" customFormat="false" ht="15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6"/>
      <c r="O256" s="16"/>
    </row>
    <row r="257" customFormat="false" ht="15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6"/>
      <c r="O257" s="16"/>
    </row>
    <row r="258" customFormat="false" ht="15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6"/>
      <c r="O258" s="16"/>
    </row>
    <row r="259" customFormat="false" ht="15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6"/>
      <c r="O259" s="16"/>
    </row>
    <row r="260" customFormat="false" ht="15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6"/>
      <c r="O260" s="16"/>
    </row>
    <row r="261" customFormat="false" ht="15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6"/>
      <c r="O261" s="16"/>
    </row>
    <row r="262" customFormat="false" ht="15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6"/>
      <c r="O262" s="16"/>
    </row>
    <row r="263" customFormat="false" ht="15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6"/>
      <c r="O263" s="16"/>
    </row>
    <row r="264" customFormat="false" ht="15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6"/>
      <c r="O264" s="16"/>
    </row>
    <row r="265" customFormat="false" ht="15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6"/>
      <c r="O265" s="16"/>
    </row>
    <row r="266" customFormat="false" ht="15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6"/>
      <c r="O266" s="16"/>
    </row>
    <row r="267" customFormat="false" ht="15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6"/>
      <c r="O267" s="16"/>
    </row>
    <row r="268" customFormat="false" ht="15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6"/>
      <c r="O268" s="16"/>
    </row>
    <row r="269" customFormat="false" ht="15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6"/>
      <c r="O269" s="16"/>
    </row>
    <row r="270" customFormat="false" ht="15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6"/>
      <c r="O270" s="16"/>
    </row>
    <row r="271" customFormat="false" ht="15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6"/>
      <c r="O271" s="16"/>
    </row>
    <row r="272" customFormat="false" ht="15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6"/>
      <c r="O272" s="16"/>
    </row>
    <row r="273" customFormat="false" ht="15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6"/>
      <c r="O273" s="16"/>
    </row>
    <row r="274" customFormat="false" ht="15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6"/>
      <c r="O274" s="16"/>
    </row>
    <row r="275" customFormat="false" ht="15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6"/>
      <c r="O275" s="16"/>
    </row>
    <row r="276" customFormat="false" ht="15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6"/>
      <c r="O276" s="16"/>
    </row>
    <row r="277" customFormat="false" ht="15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6"/>
      <c r="O277" s="16"/>
    </row>
    <row r="278" customFormat="false" ht="15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6"/>
      <c r="O278" s="16"/>
    </row>
    <row r="279" customFormat="false" ht="15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6"/>
      <c r="O279" s="16"/>
    </row>
    <row r="280" customFormat="false" ht="15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6"/>
      <c r="O280" s="16"/>
    </row>
    <row r="281" customFormat="false" ht="15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6"/>
      <c r="O281" s="16"/>
    </row>
    <row r="282" customFormat="false" ht="15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6"/>
      <c r="O282" s="16"/>
    </row>
    <row r="283" customFormat="false" ht="15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6"/>
      <c r="O283" s="16"/>
    </row>
    <row r="284" customFormat="false" ht="15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6"/>
      <c r="O284" s="16"/>
    </row>
    <row r="285" customFormat="false" ht="15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6"/>
      <c r="O285" s="16"/>
    </row>
    <row r="286" customFormat="false" ht="15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6"/>
      <c r="O286" s="16"/>
    </row>
    <row r="287" customFormat="false" ht="15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6"/>
      <c r="O287" s="16"/>
    </row>
    <row r="288" customFormat="false" ht="15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6"/>
      <c r="O288" s="16"/>
    </row>
    <row r="289" customFormat="false" ht="15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6"/>
      <c r="O289" s="16"/>
    </row>
    <row r="290" customFormat="false" ht="15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6"/>
      <c r="O290" s="16"/>
    </row>
    <row r="291" customFormat="false" ht="15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6"/>
      <c r="O291" s="16"/>
    </row>
    <row r="292" customFormat="false" ht="15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6"/>
      <c r="O292" s="16"/>
    </row>
    <row r="293" customFormat="false" ht="15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6"/>
      <c r="O293" s="16"/>
    </row>
    <row r="294" customFormat="false" ht="15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6"/>
      <c r="O294" s="16"/>
    </row>
    <row r="295" customFormat="false" ht="15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6"/>
      <c r="O295" s="16"/>
    </row>
    <row r="296" customFormat="false" ht="15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6"/>
      <c r="O296" s="16"/>
    </row>
    <row r="297" customFormat="false" ht="15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6"/>
      <c r="O297" s="16"/>
    </row>
    <row r="298" customFormat="false" ht="15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6"/>
      <c r="O298" s="16"/>
    </row>
    <row r="299" customFormat="false" ht="15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6"/>
      <c r="O299" s="16"/>
    </row>
    <row r="300" customFormat="false" ht="15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6"/>
      <c r="O300" s="16"/>
    </row>
    <row r="301" customFormat="false" ht="15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6"/>
      <c r="O301" s="16"/>
    </row>
    <row r="302" customFormat="false" ht="15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6"/>
      <c r="O302" s="16"/>
    </row>
    <row r="303" customFormat="false" ht="15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6"/>
      <c r="O303" s="16"/>
    </row>
    <row r="304" customFormat="false" ht="15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6"/>
      <c r="O304" s="16"/>
    </row>
    <row r="305" customFormat="false" ht="15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6"/>
      <c r="O305" s="16"/>
    </row>
    <row r="306" customFormat="false" ht="15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6"/>
      <c r="O306" s="16"/>
    </row>
    <row r="307" customFormat="false" ht="15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6"/>
      <c r="O307" s="16"/>
    </row>
    <row r="308" customFormat="false" ht="15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6"/>
      <c r="O308" s="16"/>
    </row>
    <row r="309" customFormat="false" ht="15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6"/>
      <c r="O309" s="16"/>
    </row>
    <row r="310" customFormat="false" ht="15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6"/>
      <c r="O310" s="16"/>
    </row>
    <row r="311" customFormat="false" ht="15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6"/>
      <c r="O311" s="16"/>
    </row>
    <row r="312" customFormat="false" ht="15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6"/>
      <c r="O312" s="16"/>
    </row>
    <row r="313" customFormat="false" ht="15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6"/>
      <c r="O313" s="16"/>
    </row>
    <row r="314" customFormat="false" ht="15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6"/>
      <c r="O314" s="16"/>
    </row>
    <row r="315" customFormat="false" ht="15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6"/>
      <c r="O315" s="16"/>
    </row>
    <row r="316" customFormat="false" ht="15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6"/>
      <c r="O316" s="16"/>
    </row>
    <row r="317" customFormat="false" ht="15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6"/>
      <c r="O317" s="16"/>
    </row>
    <row r="318" customFormat="false" ht="15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6"/>
      <c r="O318" s="16"/>
    </row>
    <row r="319" customFormat="false" ht="15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6"/>
      <c r="O319" s="16"/>
    </row>
    <row r="320" customFormat="false" ht="15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6"/>
      <c r="O320" s="16"/>
    </row>
    <row r="321" customFormat="false" ht="15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6"/>
      <c r="O321" s="16"/>
    </row>
    <row r="322" customFormat="false" ht="15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6"/>
      <c r="O322" s="16"/>
    </row>
    <row r="323" customFormat="false" ht="15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6"/>
      <c r="O323" s="16"/>
    </row>
    <row r="324" customFormat="false" ht="15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6"/>
      <c r="O324" s="16"/>
    </row>
    <row r="325" customFormat="false" ht="15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6"/>
      <c r="O325" s="16"/>
    </row>
    <row r="326" customFormat="false" ht="15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6"/>
      <c r="O326" s="16"/>
    </row>
    <row r="327" customFormat="false" ht="15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6"/>
      <c r="O327" s="16"/>
    </row>
    <row r="328" customFormat="false" ht="15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6"/>
      <c r="O328" s="16"/>
    </row>
    <row r="329" customFormat="false" ht="15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6"/>
      <c r="O329" s="16"/>
    </row>
    <row r="330" customFormat="false" ht="15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6"/>
      <c r="O330" s="16"/>
    </row>
    <row r="331" customFormat="false" ht="15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6"/>
      <c r="O331" s="16"/>
    </row>
    <row r="332" customFormat="false" ht="15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6"/>
      <c r="O332" s="16"/>
    </row>
    <row r="333" customFormat="false" ht="15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6"/>
      <c r="O333" s="16"/>
    </row>
    <row r="334" customFormat="false" ht="15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6"/>
      <c r="O334" s="16"/>
    </row>
    <row r="335" customFormat="false" ht="15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6"/>
      <c r="O335" s="16"/>
    </row>
    <row r="336" customFormat="false" ht="15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6"/>
      <c r="O336" s="16"/>
    </row>
    <row r="337" customFormat="false" ht="15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6"/>
      <c r="O337" s="16"/>
    </row>
    <row r="338" customFormat="false" ht="15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6"/>
      <c r="O338" s="16"/>
    </row>
    <row r="339" customFormat="false" ht="15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6"/>
      <c r="O339" s="16"/>
    </row>
    <row r="340" customFormat="false" ht="15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6"/>
      <c r="O340" s="16"/>
    </row>
    <row r="341" customFormat="false" ht="15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6"/>
      <c r="O341" s="16"/>
    </row>
    <row r="342" customFormat="false" ht="15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6"/>
      <c r="O342" s="16"/>
    </row>
    <row r="343" customFormat="false" ht="15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6"/>
      <c r="O343" s="16"/>
    </row>
    <row r="344" customFormat="false" ht="15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6"/>
      <c r="O344" s="16"/>
    </row>
    <row r="345" customFormat="false" ht="15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6"/>
      <c r="O345" s="16"/>
    </row>
    <row r="346" customFormat="false" ht="15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6"/>
      <c r="O346" s="16"/>
    </row>
    <row r="347" customFormat="false" ht="15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6"/>
      <c r="O347" s="16"/>
    </row>
    <row r="348" customFormat="false" ht="15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6"/>
      <c r="O348" s="16"/>
    </row>
    <row r="349" customFormat="false" ht="15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6"/>
      <c r="O349" s="16"/>
    </row>
    <row r="350" customFormat="false" ht="15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6"/>
      <c r="O350" s="16"/>
    </row>
    <row r="351" customFormat="false" ht="15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6"/>
      <c r="O351" s="16"/>
    </row>
    <row r="352" customFormat="false" ht="15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6"/>
      <c r="O352" s="16"/>
    </row>
    <row r="353" customFormat="false" ht="15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6"/>
      <c r="O353" s="16"/>
    </row>
    <row r="354" customFormat="false" ht="15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6"/>
      <c r="O354" s="16"/>
    </row>
    <row r="355" customFormat="false" ht="15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6"/>
      <c r="O355" s="16"/>
    </row>
    <row r="356" customFormat="false" ht="15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6"/>
      <c r="O356" s="16"/>
    </row>
    <row r="357" customFormat="false" ht="15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6"/>
      <c r="O357" s="16"/>
    </row>
    <row r="358" customFormat="false" ht="15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6"/>
      <c r="O358" s="16"/>
    </row>
    <row r="359" customFormat="false" ht="15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6"/>
      <c r="O359" s="16"/>
    </row>
    <row r="360" customFormat="false" ht="15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6"/>
      <c r="O360" s="16"/>
    </row>
    <row r="361" customFormat="false" ht="15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6"/>
      <c r="O361" s="16"/>
    </row>
    <row r="362" customFormat="false" ht="15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6"/>
      <c r="O362" s="16"/>
    </row>
    <row r="363" customFormat="false" ht="15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6"/>
      <c r="O363" s="16"/>
    </row>
    <row r="364" customFormat="false" ht="15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6"/>
      <c r="O364" s="16"/>
    </row>
    <row r="365" customFormat="false" ht="15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6"/>
      <c r="O365" s="16"/>
    </row>
    <row r="366" customFormat="false" ht="15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6"/>
      <c r="O366" s="16"/>
    </row>
    <row r="367" customFormat="false" ht="15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6"/>
      <c r="O367" s="16"/>
    </row>
    <row r="368" customFormat="false" ht="15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6"/>
      <c r="O368" s="16"/>
    </row>
    <row r="369" customFormat="false" ht="15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6"/>
      <c r="O369" s="16"/>
    </row>
    <row r="370" customFormat="false" ht="15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6"/>
      <c r="O370" s="16"/>
    </row>
    <row r="371" customFormat="false" ht="15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6"/>
      <c r="O371" s="16"/>
    </row>
    <row r="372" customFormat="false" ht="15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6"/>
      <c r="O372" s="16"/>
    </row>
    <row r="373" customFormat="false" ht="15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6"/>
      <c r="O373" s="16"/>
    </row>
    <row r="374" customFormat="false" ht="15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6"/>
      <c r="O374" s="16"/>
    </row>
    <row r="375" customFormat="false" ht="15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6"/>
      <c r="O375" s="16"/>
    </row>
    <row r="376" customFormat="false" ht="15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6"/>
      <c r="O376" s="16"/>
    </row>
    <row r="377" customFormat="false" ht="15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6"/>
      <c r="O377" s="16"/>
    </row>
    <row r="378" customFormat="false" ht="15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6"/>
      <c r="O378" s="16"/>
    </row>
    <row r="379" customFormat="false" ht="15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6"/>
      <c r="O379" s="16"/>
    </row>
    <row r="380" customFormat="false" ht="15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6"/>
      <c r="O380" s="16"/>
    </row>
    <row r="381" customFormat="false" ht="15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6"/>
      <c r="O381" s="16"/>
    </row>
    <row r="382" customFormat="false" ht="15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6"/>
      <c r="O382" s="16"/>
    </row>
    <row r="383" customFormat="false" ht="15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6"/>
      <c r="O383" s="16"/>
    </row>
    <row r="384" customFormat="false" ht="15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6"/>
      <c r="O384" s="16"/>
    </row>
    <row r="385" customFormat="false" ht="15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6"/>
      <c r="O385" s="16"/>
    </row>
    <row r="386" customFormat="false" ht="15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6"/>
      <c r="O386" s="16"/>
    </row>
    <row r="387" customFormat="false" ht="15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6"/>
      <c r="O387" s="16"/>
    </row>
    <row r="388" customFormat="false" ht="15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6"/>
      <c r="O388" s="16"/>
    </row>
    <row r="389" customFormat="false" ht="15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6"/>
      <c r="O389" s="16"/>
    </row>
    <row r="390" customFormat="false" ht="15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6"/>
      <c r="O390" s="16"/>
    </row>
    <row r="391" customFormat="false" ht="15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6"/>
      <c r="O391" s="16"/>
    </row>
    <row r="392" customFormat="false" ht="15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6"/>
      <c r="O392" s="16"/>
    </row>
    <row r="393" customFormat="false" ht="15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6"/>
      <c r="O393" s="16"/>
    </row>
    <row r="394" customFormat="false" ht="15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6"/>
      <c r="O394" s="16"/>
    </row>
    <row r="395" customFormat="false" ht="15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6"/>
      <c r="O395" s="16"/>
    </row>
    <row r="396" customFormat="false" ht="15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6"/>
      <c r="O396" s="16"/>
    </row>
    <row r="397" customFormat="false" ht="15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6"/>
      <c r="O397" s="16"/>
    </row>
    <row r="398" customFormat="false" ht="15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6"/>
      <c r="O398" s="16"/>
    </row>
    <row r="399" customFormat="false" ht="15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6"/>
      <c r="O399" s="16"/>
    </row>
    <row r="400" customFormat="false" ht="15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6"/>
      <c r="O400" s="16"/>
    </row>
    <row r="401" customFormat="false" ht="15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6"/>
      <c r="O401" s="16"/>
    </row>
    <row r="402" customFormat="false" ht="15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6"/>
      <c r="O402" s="16"/>
    </row>
    <row r="403" customFormat="false" ht="15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6"/>
      <c r="O403" s="16"/>
    </row>
    <row r="404" customFormat="false" ht="15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6"/>
      <c r="O404" s="16"/>
    </row>
    <row r="405" customFormat="false" ht="15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6"/>
      <c r="O405" s="16"/>
    </row>
    <row r="406" customFormat="false" ht="15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6"/>
      <c r="O406" s="16"/>
    </row>
    <row r="407" customFormat="false" ht="15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6"/>
      <c r="O407" s="16"/>
    </row>
    <row r="408" customFormat="false" ht="15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6"/>
      <c r="O408" s="16"/>
    </row>
    <row r="409" customFormat="false" ht="15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6"/>
      <c r="O409" s="16"/>
    </row>
    <row r="410" customFormat="false" ht="15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6"/>
      <c r="O410" s="16"/>
    </row>
    <row r="411" customFormat="false" ht="15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6"/>
      <c r="O411" s="16"/>
    </row>
    <row r="412" customFormat="false" ht="15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6"/>
      <c r="O412" s="16"/>
    </row>
    <row r="413" customFormat="false" ht="15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6"/>
      <c r="O413" s="16"/>
    </row>
    <row r="414" customFormat="false" ht="15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6"/>
      <c r="O414" s="16"/>
    </row>
    <row r="415" customFormat="false" ht="15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6"/>
      <c r="O415" s="16"/>
    </row>
    <row r="416" customFormat="false" ht="15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6"/>
      <c r="O416" s="16"/>
    </row>
    <row r="417" customFormat="false" ht="15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6"/>
      <c r="O417" s="16"/>
    </row>
    <row r="418" customFormat="false" ht="15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6"/>
      <c r="O418" s="16"/>
    </row>
    <row r="419" customFormat="false" ht="15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6"/>
      <c r="O419" s="16"/>
    </row>
    <row r="420" customFormat="false" ht="15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6"/>
      <c r="O420" s="16"/>
    </row>
    <row r="421" customFormat="false" ht="15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6"/>
      <c r="O421" s="16"/>
    </row>
    <row r="422" customFormat="false" ht="15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6"/>
      <c r="O422" s="16"/>
    </row>
    <row r="423" customFormat="false" ht="15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6"/>
      <c r="O423" s="16"/>
    </row>
    <row r="424" customFormat="false" ht="15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6"/>
      <c r="O424" s="16"/>
    </row>
    <row r="425" customFormat="false" ht="15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6"/>
      <c r="O425" s="16"/>
    </row>
    <row r="426" customFormat="false" ht="15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6"/>
      <c r="O426" s="16"/>
    </row>
    <row r="427" customFormat="false" ht="15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6"/>
      <c r="O427" s="16"/>
    </row>
    <row r="428" customFormat="false" ht="15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6"/>
      <c r="O428" s="16"/>
    </row>
    <row r="429" customFormat="false" ht="15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6"/>
      <c r="O429" s="16"/>
    </row>
    <row r="430" customFormat="false" ht="15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6"/>
      <c r="O430" s="16"/>
    </row>
    <row r="431" customFormat="false" ht="15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6"/>
      <c r="O431" s="16"/>
    </row>
    <row r="432" customFormat="false" ht="15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6"/>
      <c r="O432" s="16"/>
    </row>
    <row r="433" customFormat="false" ht="15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6"/>
      <c r="O433" s="16"/>
    </row>
    <row r="434" customFormat="false" ht="15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6"/>
      <c r="O434" s="16"/>
    </row>
    <row r="435" customFormat="false" ht="15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6"/>
      <c r="O435" s="16"/>
    </row>
    <row r="436" customFormat="false" ht="15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6"/>
      <c r="O436" s="16"/>
    </row>
    <row r="437" customFormat="false" ht="15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6"/>
      <c r="O437" s="16"/>
    </row>
    <row r="438" customFormat="false" ht="15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6"/>
      <c r="O438" s="16"/>
    </row>
    <row r="439" customFormat="false" ht="15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6"/>
      <c r="O439" s="16"/>
    </row>
    <row r="440" customFormat="false" ht="15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6"/>
      <c r="O440" s="16"/>
    </row>
    <row r="441" customFormat="false" ht="15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6"/>
      <c r="O441" s="16"/>
    </row>
    <row r="442" customFormat="false" ht="15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6"/>
      <c r="O442" s="16"/>
    </row>
    <row r="443" customFormat="false" ht="15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6"/>
      <c r="O443" s="16"/>
    </row>
    <row r="444" customFormat="false" ht="15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6"/>
      <c r="O444" s="16"/>
    </row>
    <row r="445" customFormat="false" ht="15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6"/>
      <c r="O445" s="16"/>
    </row>
    <row r="446" customFormat="false" ht="15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6"/>
      <c r="O446" s="16"/>
    </row>
    <row r="447" customFormat="false" ht="15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6"/>
      <c r="O447" s="16"/>
    </row>
    <row r="448" customFormat="false" ht="15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6"/>
      <c r="O448" s="16"/>
    </row>
    <row r="449" customFormat="false" ht="15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6"/>
      <c r="O449" s="16"/>
    </row>
    <row r="450" customFormat="false" ht="15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6"/>
      <c r="O450" s="16"/>
    </row>
    <row r="451" customFormat="false" ht="15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6"/>
      <c r="O451" s="16"/>
    </row>
    <row r="452" customFormat="false" ht="15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6"/>
      <c r="O452" s="16"/>
    </row>
    <row r="453" customFormat="false" ht="15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6"/>
      <c r="O453" s="16"/>
    </row>
    <row r="454" customFormat="false" ht="15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6"/>
      <c r="O454" s="16"/>
    </row>
    <row r="455" customFormat="false" ht="15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6"/>
      <c r="O455" s="16"/>
    </row>
    <row r="456" customFormat="false" ht="15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6"/>
      <c r="O456" s="16"/>
    </row>
    <row r="457" customFormat="false" ht="15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6"/>
      <c r="O457" s="16"/>
    </row>
    <row r="458" customFormat="false" ht="15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6"/>
      <c r="O458" s="16"/>
    </row>
    <row r="459" customFormat="false" ht="15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6"/>
      <c r="O459" s="16"/>
    </row>
    <row r="460" customFormat="false" ht="15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6"/>
      <c r="O460" s="16"/>
    </row>
    <row r="461" customFormat="false" ht="15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6"/>
      <c r="O461" s="16"/>
    </row>
    <row r="462" customFormat="false" ht="15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6"/>
      <c r="O462" s="16"/>
    </row>
    <row r="463" customFormat="false" ht="15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6"/>
      <c r="O463" s="16"/>
    </row>
    <row r="464" customFormat="false" ht="15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6"/>
      <c r="O464" s="16"/>
    </row>
    <row r="465" customFormat="false" ht="15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6"/>
      <c r="O465" s="16"/>
    </row>
    <row r="466" customFormat="false" ht="15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6"/>
      <c r="O466" s="16"/>
    </row>
    <row r="467" customFormat="false" ht="15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6"/>
      <c r="O467" s="16"/>
    </row>
    <row r="468" customFormat="false" ht="15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6"/>
      <c r="O468" s="16"/>
    </row>
    <row r="469" customFormat="false" ht="15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6"/>
      <c r="O469" s="16"/>
    </row>
    <row r="470" customFormat="false" ht="15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6"/>
      <c r="O470" s="16"/>
    </row>
    <row r="471" customFormat="false" ht="15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6"/>
      <c r="O471" s="16"/>
    </row>
    <row r="472" customFormat="false" ht="15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6"/>
      <c r="O472" s="16"/>
    </row>
    <row r="473" customFormat="false" ht="15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6"/>
      <c r="O473" s="16"/>
    </row>
    <row r="474" customFormat="false" ht="15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6"/>
      <c r="O474" s="16"/>
    </row>
    <row r="475" customFormat="false" ht="15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6"/>
      <c r="O475" s="16"/>
    </row>
    <row r="476" customFormat="false" ht="15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6"/>
      <c r="O476" s="16"/>
    </row>
    <row r="477" customFormat="false" ht="15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6"/>
      <c r="O477" s="16"/>
    </row>
    <row r="478" customFormat="false" ht="15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6"/>
      <c r="O478" s="16"/>
    </row>
    <row r="479" customFormat="false" ht="15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6"/>
      <c r="O479" s="16"/>
    </row>
    <row r="480" customFormat="false" ht="15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6"/>
      <c r="O480" s="16"/>
    </row>
    <row r="481" customFormat="false" ht="15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6"/>
      <c r="O481" s="16"/>
    </row>
    <row r="482" customFormat="false" ht="15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6"/>
      <c r="O482" s="16"/>
    </row>
    <row r="483" customFormat="false" ht="15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6"/>
      <c r="O483" s="16"/>
    </row>
    <row r="484" customFormat="false" ht="15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6"/>
      <c r="O484" s="16"/>
    </row>
    <row r="485" customFormat="false" ht="15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6"/>
      <c r="O485" s="16"/>
    </row>
    <row r="486" customFormat="false" ht="15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6"/>
      <c r="O486" s="16"/>
    </row>
    <row r="487" customFormat="false" ht="15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6"/>
      <c r="O487" s="16"/>
    </row>
    <row r="488" customFormat="false" ht="15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6"/>
      <c r="O488" s="16"/>
    </row>
    <row r="489" customFormat="false" ht="15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6"/>
      <c r="O489" s="16"/>
    </row>
    <row r="490" customFormat="false" ht="15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6"/>
      <c r="O490" s="16"/>
    </row>
    <row r="491" customFormat="false" ht="15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6"/>
      <c r="O491" s="16"/>
    </row>
    <row r="492" customFormat="false" ht="15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6"/>
      <c r="O492" s="16"/>
    </row>
    <row r="493" customFormat="false" ht="15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6"/>
      <c r="O493" s="16"/>
    </row>
    <row r="494" customFormat="false" ht="15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6"/>
      <c r="O494" s="16"/>
    </row>
    <row r="495" customFormat="false" ht="15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6"/>
      <c r="O495" s="16"/>
    </row>
    <row r="496" customFormat="false" ht="15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6"/>
      <c r="O496" s="16"/>
    </row>
    <row r="497" customFormat="false" ht="15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6"/>
      <c r="O497" s="16"/>
    </row>
    <row r="498" customFormat="false" ht="15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6"/>
      <c r="O498" s="16"/>
    </row>
    <row r="499" customFormat="false" ht="15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6"/>
      <c r="O499" s="16"/>
    </row>
    <row r="500" customFormat="false" ht="15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6"/>
      <c r="O500" s="16"/>
    </row>
    <row r="501" customFormat="false" ht="15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6"/>
      <c r="O501" s="16"/>
    </row>
    <row r="502" customFormat="false" ht="15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6"/>
      <c r="O502" s="16"/>
    </row>
    <row r="503" customFormat="false" ht="15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6"/>
      <c r="O503" s="16"/>
    </row>
    <row r="504" customFormat="false" ht="15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6"/>
      <c r="O504" s="16"/>
    </row>
    <row r="505" customFormat="false" ht="15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6"/>
      <c r="O505" s="16"/>
    </row>
    <row r="506" customFormat="false" ht="15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6"/>
      <c r="O506" s="16"/>
    </row>
    <row r="507" customFormat="false" ht="15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6"/>
      <c r="O507" s="16"/>
    </row>
    <row r="508" customFormat="false" ht="15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6"/>
      <c r="O508" s="16"/>
    </row>
    <row r="509" customFormat="false" ht="15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6"/>
      <c r="O509" s="16"/>
    </row>
    <row r="510" customFormat="false" ht="15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6"/>
      <c r="O510" s="16"/>
    </row>
    <row r="511" customFormat="false" ht="15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6"/>
      <c r="O511" s="16"/>
    </row>
    <row r="512" customFormat="false" ht="15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6"/>
      <c r="O512" s="16"/>
    </row>
    <row r="513" customFormat="false" ht="15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6"/>
      <c r="O513" s="16"/>
    </row>
    <row r="514" customFormat="false" ht="15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6"/>
      <c r="O514" s="16"/>
    </row>
    <row r="515" customFormat="false" ht="15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6"/>
      <c r="O515" s="16"/>
    </row>
    <row r="516" customFormat="false" ht="15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6"/>
      <c r="O516" s="16"/>
    </row>
    <row r="517" customFormat="false" ht="15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6"/>
      <c r="O517" s="16"/>
    </row>
    <row r="518" customFormat="false" ht="15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6"/>
      <c r="O518" s="16"/>
    </row>
    <row r="519" customFormat="false" ht="15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6"/>
      <c r="O519" s="16"/>
    </row>
    <row r="520" customFormat="false" ht="15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6"/>
      <c r="O520" s="16"/>
    </row>
    <row r="521" customFormat="false" ht="15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6"/>
      <c r="O521" s="16"/>
    </row>
    <row r="522" customFormat="false" ht="15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6"/>
      <c r="O522" s="16"/>
    </row>
    <row r="523" customFormat="false" ht="15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6"/>
      <c r="O523" s="16"/>
    </row>
    <row r="524" customFormat="false" ht="15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6"/>
      <c r="O524" s="16"/>
    </row>
    <row r="525" customFormat="false" ht="15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6"/>
      <c r="O525" s="16"/>
    </row>
    <row r="526" customFormat="false" ht="15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6"/>
      <c r="O526" s="16"/>
    </row>
    <row r="527" customFormat="false" ht="15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6"/>
      <c r="O527" s="16"/>
    </row>
    <row r="528" customFormat="false" ht="15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6"/>
      <c r="O528" s="16"/>
    </row>
    <row r="529" customFormat="false" ht="15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6"/>
      <c r="O529" s="16"/>
    </row>
    <row r="530" customFormat="false" ht="15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6"/>
      <c r="O530" s="16"/>
    </row>
    <row r="531" customFormat="false" ht="15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6"/>
      <c r="O531" s="16"/>
    </row>
    <row r="532" customFormat="false" ht="15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6"/>
      <c r="O532" s="16"/>
    </row>
    <row r="533" customFormat="false" ht="15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6"/>
      <c r="O533" s="16"/>
    </row>
    <row r="534" customFormat="false" ht="15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6"/>
      <c r="O534" s="16"/>
    </row>
    <row r="535" customFormat="false" ht="15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6"/>
      <c r="O535" s="16"/>
    </row>
    <row r="536" customFormat="false" ht="15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6"/>
      <c r="O536" s="16"/>
    </row>
    <row r="537" customFormat="false" ht="15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6"/>
      <c r="O537" s="16"/>
    </row>
    <row r="538" customFormat="false" ht="15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6"/>
      <c r="O538" s="16"/>
    </row>
    <row r="539" customFormat="false" ht="15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6"/>
      <c r="O539" s="16"/>
    </row>
    <row r="540" customFormat="false" ht="15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6"/>
      <c r="O540" s="16"/>
    </row>
    <row r="541" customFormat="false" ht="15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6"/>
      <c r="O541" s="16"/>
    </row>
    <row r="542" customFormat="false" ht="15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6"/>
      <c r="O542" s="16"/>
    </row>
    <row r="543" customFormat="false" ht="15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6"/>
      <c r="O543" s="16"/>
    </row>
    <row r="544" customFormat="false" ht="15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6"/>
      <c r="O544" s="16"/>
    </row>
    <row r="545" customFormat="false" ht="15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6"/>
      <c r="O545" s="16"/>
    </row>
    <row r="546" customFormat="false" ht="15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6"/>
      <c r="O546" s="16"/>
    </row>
    <row r="547" customFormat="false" ht="15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6"/>
      <c r="O547" s="16"/>
    </row>
    <row r="548" customFormat="false" ht="15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6"/>
      <c r="O548" s="16"/>
    </row>
    <row r="549" customFormat="false" ht="15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6"/>
      <c r="O549" s="16"/>
    </row>
    <row r="550" customFormat="false" ht="15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6"/>
      <c r="O550" s="16"/>
    </row>
    <row r="551" customFormat="false" ht="15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6"/>
      <c r="O551" s="16"/>
    </row>
    <row r="552" customFormat="false" ht="15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6"/>
      <c r="O552" s="16"/>
    </row>
    <row r="553" customFormat="false" ht="15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6"/>
      <c r="O553" s="16"/>
    </row>
    <row r="554" customFormat="false" ht="15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6"/>
      <c r="O554" s="16"/>
    </row>
    <row r="555" customFormat="false" ht="15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6"/>
      <c r="O555" s="16"/>
    </row>
    <row r="556" customFormat="false" ht="15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6"/>
      <c r="O556" s="16"/>
    </row>
    <row r="557" customFormat="false" ht="15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6"/>
      <c r="O557" s="16"/>
    </row>
    <row r="558" customFormat="false" ht="15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6"/>
      <c r="O558" s="16"/>
    </row>
    <row r="559" customFormat="false" ht="15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6"/>
      <c r="O559" s="16"/>
    </row>
    <row r="560" customFormat="false" ht="15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6"/>
      <c r="O560" s="16"/>
    </row>
    <row r="561" customFormat="false" ht="15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6"/>
      <c r="O561" s="16"/>
    </row>
    <row r="562" customFormat="false" ht="15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6"/>
      <c r="O562" s="16"/>
    </row>
    <row r="563" customFormat="false" ht="15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6"/>
      <c r="O563" s="16"/>
    </row>
    <row r="564" customFormat="false" ht="15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6"/>
      <c r="O564" s="16"/>
    </row>
    <row r="565" customFormat="false" ht="15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6"/>
      <c r="O565" s="16"/>
    </row>
    <row r="566" customFormat="false" ht="15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6"/>
      <c r="O566" s="16"/>
    </row>
    <row r="567" customFormat="false" ht="15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6"/>
      <c r="O567" s="16"/>
    </row>
    <row r="568" customFormat="false" ht="15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6"/>
      <c r="O568" s="16"/>
    </row>
    <row r="569" customFormat="false" ht="15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6"/>
      <c r="O569" s="16"/>
    </row>
    <row r="570" customFormat="false" ht="15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6"/>
      <c r="O570" s="16"/>
    </row>
    <row r="571" customFormat="false" ht="15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6"/>
      <c r="O571" s="16"/>
    </row>
    <row r="572" customFormat="false" ht="15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6"/>
      <c r="O572" s="16"/>
    </row>
    <row r="573" customFormat="false" ht="15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6"/>
      <c r="O573" s="16"/>
    </row>
    <row r="574" customFormat="false" ht="15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6"/>
      <c r="O574" s="16"/>
    </row>
    <row r="575" customFormat="false" ht="15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6"/>
      <c r="O575" s="16"/>
    </row>
    <row r="576" customFormat="false" ht="15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6"/>
      <c r="O576" s="16"/>
    </row>
    <row r="577" customFormat="false" ht="15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6"/>
      <c r="O577" s="16"/>
    </row>
    <row r="578" customFormat="false" ht="15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6"/>
      <c r="O578" s="16"/>
    </row>
    <row r="579" customFormat="false" ht="15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6"/>
      <c r="O579" s="16"/>
    </row>
    <row r="580" customFormat="false" ht="15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6"/>
      <c r="O580" s="16"/>
    </row>
    <row r="581" customFormat="false" ht="15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6"/>
      <c r="O581" s="16"/>
    </row>
    <row r="582" customFormat="false" ht="15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6"/>
      <c r="O582" s="16"/>
    </row>
    <row r="583" customFormat="false" ht="15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6"/>
      <c r="O583" s="16"/>
    </row>
    <row r="584" customFormat="false" ht="15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6"/>
      <c r="O584" s="16"/>
    </row>
    <row r="585" customFormat="false" ht="15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6"/>
      <c r="O585" s="16"/>
    </row>
    <row r="586" customFormat="false" ht="15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6"/>
      <c r="O586" s="16"/>
    </row>
    <row r="587" customFormat="false" ht="15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6"/>
      <c r="O587" s="16"/>
    </row>
    <row r="588" customFormat="false" ht="15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6"/>
      <c r="O588" s="16"/>
    </row>
    <row r="589" customFormat="false" ht="15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6"/>
      <c r="O589" s="16"/>
    </row>
    <row r="590" customFormat="false" ht="15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6"/>
      <c r="O590" s="16"/>
    </row>
    <row r="591" customFormat="false" ht="15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6"/>
      <c r="O591" s="16"/>
    </row>
    <row r="592" customFormat="false" ht="15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6"/>
      <c r="O592" s="16"/>
    </row>
    <row r="593" customFormat="false" ht="15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6"/>
      <c r="O593" s="16"/>
    </row>
    <row r="594" customFormat="false" ht="15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6"/>
      <c r="O594" s="16"/>
    </row>
    <row r="595" customFormat="false" ht="15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6"/>
      <c r="O595" s="16"/>
    </row>
    <row r="596" customFormat="false" ht="15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6"/>
      <c r="O596" s="16"/>
    </row>
    <row r="597" customFormat="false" ht="15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6"/>
      <c r="O597" s="16"/>
    </row>
    <row r="598" customFormat="false" ht="15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6"/>
      <c r="O598" s="16"/>
    </row>
    <row r="599" customFormat="false" ht="15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6"/>
      <c r="O599" s="16"/>
    </row>
    <row r="600" customFormat="false" ht="15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6"/>
      <c r="O600" s="16"/>
    </row>
    <row r="601" customFormat="false" ht="15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6"/>
      <c r="O601" s="16"/>
    </row>
    <row r="602" customFormat="false" ht="15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6"/>
      <c r="O602" s="16"/>
    </row>
    <row r="603" customFormat="false" ht="15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6"/>
      <c r="O603" s="16"/>
    </row>
    <row r="604" customFormat="false" ht="15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6"/>
      <c r="O604" s="16"/>
    </row>
    <row r="605" customFormat="false" ht="15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6"/>
      <c r="O605" s="16"/>
    </row>
    <row r="606" customFormat="false" ht="15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6"/>
      <c r="O606" s="16"/>
    </row>
    <row r="607" customFormat="false" ht="15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6"/>
      <c r="O607" s="16"/>
    </row>
    <row r="608" customFormat="false" ht="15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6"/>
      <c r="O608" s="16"/>
    </row>
    <row r="609" customFormat="false" ht="15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6"/>
      <c r="O609" s="16"/>
    </row>
    <row r="610" customFormat="false" ht="15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6"/>
      <c r="O610" s="16"/>
    </row>
    <row r="611" customFormat="false" ht="15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6"/>
      <c r="O611" s="16"/>
    </row>
    <row r="612" customFormat="false" ht="15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6"/>
      <c r="O612" s="16"/>
    </row>
    <row r="613" customFormat="false" ht="15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6"/>
      <c r="O613" s="16"/>
    </row>
    <row r="614" customFormat="false" ht="15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6"/>
      <c r="O614" s="16"/>
    </row>
    <row r="615" customFormat="false" ht="15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6"/>
      <c r="O615" s="16"/>
    </row>
    <row r="616" customFormat="false" ht="15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6"/>
      <c r="O616" s="16"/>
    </row>
    <row r="617" customFormat="false" ht="15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6"/>
      <c r="O617" s="16"/>
    </row>
    <row r="618" customFormat="false" ht="15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6"/>
      <c r="O618" s="16"/>
    </row>
    <row r="619" customFormat="false" ht="15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6"/>
      <c r="O619" s="16"/>
    </row>
    <row r="620" customFormat="false" ht="15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6"/>
      <c r="O620" s="16"/>
    </row>
    <row r="621" customFormat="false" ht="15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6"/>
      <c r="O621" s="16"/>
    </row>
    <row r="622" customFormat="false" ht="15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6"/>
      <c r="O622" s="16"/>
    </row>
    <row r="623" customFormat="false" ht="15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6"/>
      <c r="O623" s="16"/>
    </row>
    <row r="624" customFormat="false" ht="15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6"/>
      <c r="O624" s="16"/>
    </row>
    <row r="625" customFormat="false" ht="15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6"/>
      <c r="O625" s="16"/>
    </row>
    <row r="626" customFormat="false" ht="15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6"/>
      <c r="O626" s="16"/>
    </row>
    <row r="627" customFormat="false" ht="15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6"/>
      <c r="O627" s="16"/>
    </row>
    <row r="628" customFormat="false" ht="15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6"/>
      <c r="O628" s="16"/>
    </row>
    <row r="629" customFormat="false" ht="15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6"/>
      <c r="O629" s="16"/>
    </row>
    <row r="630" customFormat="false" ht="15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6"/>
      <c r="O630" s="16"/>
    </row>
    <row r="631" customFormat="false" ht="15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6"/>
      <c r="O631" s="16"/>
    </row>
    <row r="632" customFormat="false" ht="15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6"/>
      <c r="O632" s="16"/>
    </row>
    <row r="633" customFormat="false" ht="15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6"/>
      <c r="O633" s="16"/>
    </row>
    <row r="634" customFormat="false" ht="15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6"/>
      <c r="O634" s="16"/>
    </row>
    <row r="635" customFormat="false" ht="15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6"/>
      <c r="O635" s="16"/>
    </row>
    <row r="636" customFormat="false" ht="15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6"/>
      <c r="O636" s="16"/>
    </row>
    <row r="637" customFormat="false" ht="15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6"/>
      <c r="O637" s="16"/>
    </row>
    <row r="638" customFormat="false" ht="15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6"/>
      <c r="O638" s="16"/>
    </row>
    <row r="639" customFormat="false" ht="15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6"/>
      <c r="O639" s="16"/>
    </row>
    <row r="640" customFormat="false" ht="15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6"/>
      <c r="O640" s="16"/>
    </row>
    <row r="641" customFormat="false" ht="15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6"/>
      <c r="O641" s="16"/>
    </row>
    <row r="642" customFormat="false" ht="15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6"/>
      <c r="O642" s="16"/>
    </row>
    <row r="643" customFormat="false" ht="15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6"/>
      <c r="O643" s="16"/>
    </row>
    <row r="644" customFormat="false" ht="15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6"/>
      <c r="O644" s="16"/>
    </row>
    <row r="645" customFormat="false" ht="15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6"/>
      <c r="O645" s="16"/>
    </row>
    <row r="646" customFormat="false" ht="15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6"/>
      <c r="O646" s="16"/>
    </row>
    <row r="647" customFormat="false" ht="15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6"/>
      <c r="O647" s="16"/>
    </row>
    <row r="648" customFormat="false" ht="15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6"/>
      <c r="O648" s="16"/>
    </row>
    <row r="649" customFormat="false" ht="15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6"/>
      <c r="O649" s="16"/>
    </row>
    <row r="650" customFormat="false" ht="15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6"/>
      <c r="O650" s="16"/>
    </row>
    <row r="651" customFormat="false" ht="15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6"/>
      <c r="O651" s="16"/>
    </row>
    <row r="652" customFormat="false" ht="15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6"/>
      <c r="O652" s="16"/>
    </row>
    <row r="653" customFormat="false" ht="15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6"/>
      <c r="O653" s="16"/>
    </row>
    <row r="654" customFormat="false" ht="15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6"/>
      <c r="O654" s="16"/>
    </row>
    <row r="655" customFormat="false" ht="15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6"/>
      <c r="O655" s="16"/>
    </row>
    <row r="656" customFormat="false" ht="15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6"/>
      <c r="O656" s="16"/>
    </row>
    <row r="657" customFormat="false" ht="15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6"/>
      <c r="O657" s="16"/>
    </row>
    <row r="658" customFormat="false" ht="15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6"/>
      <c r="O658" s="16"/>
    </row>
    <row r="659" customFormat="false" ht="15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6"/>
      <c r="O659" s="16"/>
    </row>
    <row r="660" customFormat="false" ht="15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6"/>
      <c r="O660" s="16"/>
    </row>
    <row r="661" customFormat="false" ht="15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6"/>
      <c r="O661" s="16"/>
    </row>
    <row r="662" customFormat="false" ht="15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6"/>
      <c r="O662" s="16"/>
    </row>
    <row r="663" customFormat="false" ht="15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6"/>
      <c r="O663" s="16"/>
    </row>
    <row r="664" customFormat="false" ht="15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6"/>
      <c r="O664" s="16"/>
    </row>
    <row r="665" customFormat="false" ht="15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6"/>
      <c r="O665" s="16"/>
    </row>
    <row r="666" customFormat="false" ht="15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6"/>
      <c r="O666" s="16"/>
    </row>
    <row r="667" customFormat="false" ht="15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6"/>
      <c r="O667" s="16"/>
    </row>
    <row r="668" customFormat="false" ht="15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6"/>
      <c r="O668" s="16"/>
    </row>
    <row r="669" customFormat="false" ht="15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6"/>
      <c r="O669" s="16"/>
    </row>
    <row r="670" customFormat="false" ht="15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6"/>
      <c r="O670" s="16"/>
    </row>
    <row r="671" customFormat="false" ht="15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6"/>
      <c r="O671" s="16"/>
    </row>
    <row r="672" customFormat="false" ht="15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6"/>
      <c r="O672" s="16"/>
    </row>
    <row r="673" customFormat="false" ht="15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6"/>
      <c r="O673" s="16"/>
    </row>
    <row r="674" customFormat="false" ht="15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6"/>
      <c r="O674" s="16"/>
    </row>
    <row r="675" customFormat="false" ht="15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6"/>
      <c r="O675" s="16"/>
    </row>
    <row r="676" customFormat="false" ht="15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6"/>
      <c r="O676" s="16"/>
    </row>
    <row r="677" customFormat="false" ht="15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6"/>
      <c r="O677" s="16"/>
    </row>
    <row r="678" customFormat="false" ht="15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6"/>
      <c r="O678" s="16"/>
    </row>
    <row r="679" customFormat="false" ht="15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6"/>
      <c r="O679" s="16"/>
    </row>
    <row r="680" customFormat="false" ht="15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6"/>
      <c r="O680" s="16"/>
    </row>
    <row r="681" customFormat="false" ht="15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6"/>
      <c r="O681" s="16"/>
    </row>
    <row r="682" customFormat="false" ht="15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6"/>
      <c r="O682" s="16"/>
    </row>
    <row r="683" customFormat="false" ht="15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6"/>
      <c r="O683" s="16"/>
    </row>
    <row r="684" customFormat="false" ht="15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6"/>
      <c r="O684" s="16"/>
    </row>
    <row r="685" customFormat="false" ht="15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6"/>
      <c r="O685" s="16"/>
    </row>
    <row r="686" customFormat="false" ht="15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6"/>
      <c r="O686" s="16"/>
    </row>
    <row r="687" customFormat="false" ht="15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6"/>
      <c r="O687" s="16"/>
    </row>
    <row r="688" customFormat="false" ht="15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6"/>
      <c r="O688" s="16"/>
    </row>
    <row r="689" customFormat="false" ht="15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6"/>
      <c r="O689" s="16"/>
    </row>
    <row r="690" customFormat="false" ht="15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6"/>
      <c r="O690" s="16"/>
    </row>
    <row r="691" customFormat="false" ht="15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6"/>
      <c r="O691" s="16"/>
    </row>
    <row r="692" customFormat="false" ht="15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6"/>
      <c r="O692" s="16"/>
    </row>
    <row r="693" customFormat="false" ht="15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6"/>
      <c r="O693" s="16"/>
    </row>
    <row r="694" customFormat="false" ht="15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6"/>
      <c r="O694" s="16"/>
    </row>
    <row r="695" customFormat="false" ht="15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6"/>
      <c r="O695" s="16"/>
    </row>
    <row r="696" customFormat="false" ht="15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6"/>
      <c r="O696" s="16"/>
    </row>
    <row r="697" customFormat="false" ht="15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6"/>
      <c r="O697" s="16"/>
    </row>
    <row r="698" customFormat="false" ht="15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6"/>
      <c r="O698" s="16"/>
    </row>
    <row r="699" customFormat="false" ht="15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6"/>
      <c r="O699" s="16"/>
    </row>
    <row r="700" customFormat="false" ht="15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6"/>
      <c r="O700" s="16"/>
    </row>
    <row r="701" customFormat="false" ht="15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6"/>
      <c r="O701" s="16"/>
    </row>
    <row r="702" customFormat="false" ht="15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6"/>
      <c r="O702" s="16"/>
    </row>
    <row r="703" customFormat="false" ht="15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6"/>
      <c r="O703" s="16"/>
    </row>
    <row r="704" customFormat="false" ht="15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6"/>
      <c r="O704" s="16"/>
    </row>
    <row r="705" customFormat="false" ht="15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6"/>
      <c r="O705" s="16"/>
    </row>
    <row r="706" customFormat="false" ht="15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6"/>
      <c r="O706" s="16"/>
    </row>
    <row r="707" customFormat="false" ht="15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6"/>
      <c r="O707" s="16"/>
    </row>
    <row r="708" customFormat="false" ht="15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6"/>
      <c r="O708" s="16"/>
    </row>
    <row r="709" customFormat="false" ht="15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6"/>
      <c r="O709" s="16"/>
    </row>
    <row r="710" customFormat="false" ht="15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6"/>
      <c r="O710" s="16"/>
    </row>
    <row r="711" customFormat="false" ht="15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6"/>
      <c r="O711" s="16"/>
    </row>
    <row r="712" customFormat="false" ht="15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6"/>
      <c r="O712" s="16"/>
    </row>
    <row r="713" customFormat="false" ht="15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6"/>
      <c r="O713" s="16"/>
    </row>
    <row r="714" customFormat="false" ht="15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6"/>
      <c r="O714" s="16"/>
    </row>
    <row r="715" customFormat="false" ht="15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6"/>
      <c r="O715" s="16"/>
    </row>
    <row r="716" customFormat="false" ht="15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6"/>
      <c r="O716" s="16"/>
    </row>
    <row r="717" customFormat="false" ht="15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6"/>
      <c r="O717" s="16"/>
    </row>
    <row r="718" customFormat="false" ht="15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6"/>
      <c r="O718" s="16"/>
    </row>
    <row r="719" customFormat="false" ht="15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6"/>
      <c r="O719" s="16"/>
    </row>
    <row r="720" customFormat="false" ht="15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6"/>
      <c r="O720" s="16"/>
    </row>
    <row r="721" customFormat="false" ht="15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6"/>
      <c r="O721" s="16"/>
    </row>
    <row r="722" customFormat="false" ht="15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6"/>
      <c r="O722" s="16"/>
    </row>
    <row r="723" customFormat="false" ht="15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6"/>
      <c r="O723" s="16"/>
    </row>
    <row r="724" customFormat="false" ht="15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6"/>
      <c r="O724" s="16"/>
    </row>
    <row r="725" customFormat="false" ht="15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6"/>
      <c r="O725" s="16"/>
    </row>
    <row r="726" customFormat="false" ht="15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6"/>
      <c r="O726" s="16"/>
    </row>
    <row r="727" customFormat="false" ht="15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6"/>
      <c r="O727" s="16"/>
    </row>
    <row r="728" customFormat="false" ht="15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6"/>
      <c r="O728" s="16"/>
    </row>
    <row r="729" customFormat="false" ht="15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6"/>
      <c r="O729" s="16"/>
    </row>
    <row r="730" customFormat="false" ht="15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6"/>
      <c r="O730" s="16"/>
    </row>
    <row r="731" customFormat="false" ht="15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6"/>
      <c r="O731" s="16"/>
    </row>
    <row r="732" customFormat="false" ht="15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6"/>
      <c r="O732" s="16"/>
    </row>
    <row r="733" customFormat="false" ht="15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6"/>
      <c r="O733" s="16"/>
    </row>
    <row r="734" customFormat="false" ht="15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6"/>
      <c r="O734" s="16"/>
    </row>
    <row r="735" customFormat="false" ht="15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6"/>
      <c r="O735" s="16"/>
    </row>
    <row r="736" customFormat="false" ht="15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6"/>
      <c r="O736" s="16"/>
    </row>
    <row r="737" customFormat="false" ht="15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6"/>
      <c r="O737" s="16"/>
    </row>
    <row r="738" customFormat="false" ht="15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6"/>
      <c r="O738" s="16"/>
    </row>
    <row r="739" customFormat="false" ht="15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6"/>
      <c r="O739" s="16"/>
    </row>
    <row r="740" customFormat="false" ht="15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6"/>
      <c r="O740" s="16"/>
    </row>
    <row r="741" customFormat="false" ht="15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6"/>
      <c r="O741" s="16"/>
    </row>
    <row r="742" customFormat="false" ht="15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6"/>
      <c r="O742" s="16"/>
    </row>
    <row r="743" customFormat="false" ht="15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6"/>
      <c r="O743" s="16"/>
    </row>
    <row r="744" customFormat="false" ht="15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6"/>
      <c r="O744" s="16"/>
    </row>
    <row r="745" customFormat="false" ht="15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6"/>
      <c r="O745" s="16"/>
    </row>
    <row r="746" customFormat="false" ht="15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6"/>
      <c r="O746" s="16"/>
    </row>
    <row r="747" customFormat="false" ht="15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6"/>
      <c r="O747" s="16"/>
    </row>
    <row r="748" customFormat="false" ht="15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6"/>
      <c r="O748" s="16"/>
    </row>
    <row r="749" customFormat="false" ht="15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6"/>
      <c r="O749" s="16"/>
    </row>
    <row r="750" customFormat="false" ht="15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6"/>
      <c r="O750" s="16"/>
    </row>
    <row r="751" customFormat="false" ht="15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6"/>
      <c r="O751" s="16"/>
    </row>
    <row r="752" customFormat="false" ht="15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6"/>
      <c r="O752" s="16"/>
    </row>
    <row r="753" customFormat="false" ht="15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6"/>
      <c r="O753" s="16"/>
    </row>
    <row r="754" customFormat="false" ht="15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6"/>
      <c r="O754" s="16"/>
    </row>
    <row r="755" customFormat="false" ht="15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6"/>
      <c r="O755" s="16"/>
    </row>
    <row r="756" customFormat="false" ht="15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6"/>
      <c r="O756" s="16"/>
    </row>
    <row r="757" customFormat="false" ht="15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6"/>
      <c r="O757" s="16"/>
    </row>
    <row r="758" customFormat="false" ht="15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6"/>
      <c r="O758" s="16"/>
    </row>
    <row r="759" customFormat="false" ht="15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6"/>
      <c r="O759" s="16"/>
    </row>
    <row r="760" customFormat="false" ht="15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6"/>
      <c r="O760" s="16"/>
    </row>
    <row r="761" customFormat="false" ht="15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6"/>
      <c r="O761" s="16"/>
    </row>
    <row r="762" customFormat="false" ht="15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6"/>
      <c r="O762" s="16"/>
    </row>
    <row r="763" customFormat="false" ht="15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6"/>
      <c r="O763" s="16"/>
    </row>
    <row r="764" customFormat="false" ht="15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6"/>
      <c r="O764" s="16"/>
    </row>
    <row r="765" customFormat="false" ht="15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6"/>
      <c r="O765" s="16"/>
    </row>
    <row r="766" customFormat="false" ht="15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6"/>
      <c r="O766" s="16"/>
    </row>
    <row r="767" customFormat="false" ht="15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6"/>
      <c r="O767" s="16"/>
    </row>
    <row r="768" customFormat="false" ht="15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6"/>
      <c r="O768" s="16"/>
    </row>
    <row r="769" customFormat="false" ht="15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6"/>
      <c r="O769" s="16"/>
    </row>
    <row r="770" customFormat="false" ht="15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6"/>
      <c r="O770" s="16"/>
    </row>
    <row r="771" customFormat="false" ht="15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6"/>
      <c r="O771" s="16"/>
    </row>
    <row r="772" customFormat="false" ht="15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6"/>
      <c r="O772" s="16"/>
    </row>
    <row r="773" customFormat="false" ht="15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6"/>
      <c r="O773" s="16"/>
    </row>
    <row r="774" customFormat="false" ht="15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6"/>
      <c r="O774" s="16"/>
    </row>
    <row r="775" customFormat="false" ht="15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6"/>
      <c r="O775" s="16"/>
    </row>
    <row r="776" customFormat="false" ht="15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6"/>
      <c r="O776" s="16"/>
    </row>
    <row r="777" customFormat="false" ht="15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6"/>
      <c r="O777" s="16"/>
    </row>
    <row r="778" customFormat="false" ht="15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6"/>
      <c r="O778" s="16"/>
    </row>
    <row r="779" customFormat="false" ht="15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6"/>
      <c r="O779" s="16"/>
    </row>
    <row r="780" customFormat="false" ht="15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6"/>
      <c r="O780" s="16"/>
    </row>
    <row r="781" customFormat="false" ht="15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6"/>
      <c r="O781" s="16"/>
    </row>
    <row r="782" customFormat="false" ht="15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6"/>
      <c r="O782" s="16"/>
    </row>
    <row r="783" customFormat="false" ht="15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6"/>
      <c r="O783" s="16"/>
    </row>
    <row r="784" customFormat="false" ht="15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6"/>
      <c r="O784" s="16"/>
    </row>
    <row r="785" customFormat="false" ht="15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6"/>
      <c r="O785" s="16"/>
    </row>
    <row r="786" customFormat="false" ht="15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6"/>
      <c r="O786" s="16"/>
    </row>
    <row r="787" customFormat="false" ht="15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6"/>
      <c r="O787" s="16"/>
    </row>
    <row r="788" customFormat="false" ht="15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6"/>
      <c r="O788" s="16"/>
    </row>
    <row r="789" customFormat="false" ht="15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6"/>
      <c r="O789" s="16"/>
    </row>
    <row r="790" customFormat="false" ht="15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6"/>
      <c r="O790" s="16"/>
    </row>
    <row r="791" customFormat="false" ht="15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6"/>
      <c r="O791" s="16"/>
    </row>
    <row r="792" customFormat="false" ht="15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6"/>
      <c r="O792" s="16"/>
    </row>
    <row r="793" customFormat="false" ht="15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6"/>
      <c r="O793" s="16"/>
    </row>
    <row r="794" customFormat="false" ht="15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6"/>
      <c r="O794" s="16"/>
    </row>
    <row r="795" customFormat="false" ht="15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6"/>
      <c r="O795" s="16"/>
    </row>
    <row r="796" customFormat="false" ht="15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6"/>
      <c r="O796" s="16"/>
    </row>
    <row r="797" customFormat="false" ht="15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6"/>
      <c r="O797" s="16"/>
    </row>
    <row r="798" customFormat="false" ht="15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6"/>
      <c r="O798" s="16"/>
    </row>
    <row r="799" customFormat="false" ht="15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6"/>
      <c r="O799" s="16"/>
    </row>
    <row r="800" customFormat="false" ht="15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6"/>
      <c r="O800" s="16"/>
    </row>
    <row r="801" customFormat="false" ht="15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6"/>
      <c r="O801" s="16"/>
    </row>
    <row r="802" customFormat="false" ht="15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6"/>
      <c r="O802" s="16"/>
    </row>
    <row r="803" customFormat="false" ht="15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6"/>
      <c r="O803" s="16"/>
    </row>
    <row r="804" customFormat="false" ht="15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6"/>
      <c r="O804" s="16"/>
    </row>
    <row r="805" customFormat="false" ht="15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6"/>
      <c r="O805" s="16"/>
    </row>
    <row r="806" customFormat="false" ht="15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6"/>
      <c r="O806" s="16"/>
    </row>
    <row r="807" customFormat="false" ht="15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6"/>
      <c r="O807" s="16"/>
    </row>
    <row r="808" customFormat="false" ht="15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6"/>
      <c r="O808" s="16"/>
    </row>
    <row r="809" customFormat="false" ht="15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6"/>
      <c r="O809" s="16"/>
    </row>
    <row r="810" customFormat="false" ht="15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6"/>
      <c r="O810" s="16"/>
    </row>
    <row r="811" customFormat="false" ht="15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6"/>
      <c r="O811" s="16"/>
    </row>
    <row r="812" customFormat="false" ht="15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6"/>
      <c r="O812" s="16"/>
    </row>
    <row r="813" customFormat="false" ht="15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6"/>
      <c r="O813" s="16"/>
    </row>
    <row r="814" customFormat="false" ht="15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6"/>
      <c r="O814" s="16"/>
    </row>
    <row r="815" customFormat="false" ht="15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6"/>
      <c r="O815" s="16"/>
    </row>
    <row r="816" customFormat="false" ht="15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6"/>
      <c r="O816" s="16"/>
    </row>
    <row r="817" customFormat="false" ht="15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6"/>
      <c r="O817" s="16"/>
    </row>
    <row r="818" customFormat="false" ht="15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6"/>
      <c r="O818" s="16"/>
    </row>
    <row r="819" customFormat="false" ht="15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6"/>
      <c r="O819" s="16"/>
    </row>
    <row r="820" customFormat="false" ht="15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6"/>
      <c r="O820" s="16"/>
    </row>
    <row r="821" customFormat="false" ht="15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6"/>
      <c r="O821" s="16"/>
    </row>
    <row r="822" customFormat="false" ht="15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6"/>
      <c r="O822" s="16"/>
    </row>
    <row r="823" customFormat="false" ht="15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6"/>
      <c r="O823" s="16"/>
    </row>
    <row r="824" customFormat="false" ht="15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6"/>
      <c r="O824" s="16"/>
    </row>
    <row r="825" customFormat="false" ht="15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6"/>
      <c r="O825" s="16"/>
    </row>
    <row r="826" customFormat="false" ht="15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6"/>
      <c r="O826" s="16"/>
    </row>
    <row r="827" customFormat="false" ht="15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6"/>
      <c r="O827" s="16"/>
    </row>
    <row r="828" customFormat="false" ht="15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6"/>
      <c r="O828" s="16"/>
    </row>
    <row r="829" customFormat="false" ht="15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6"/>
      <c r="O829" s="16"/>
    </row>
    <row r="830" customFormat="false" ht="15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6"/>
      <c r="O830" s="16"/>
    </row>
    <row r="831" customFormat="false" ht="15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6"/>
      <c r="O831" s="16"/>
    </row>
    <row r="832" customFormat="false" ht="15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6"/>
      <c r="O832" s="16"/>
    </row>
    <row r="833" customFormat="false" ht="15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6"/>
      <c r="O833" s="16"/>
    </row>
    <row r="834" customFormat="false" ht="15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6"/>
      <c r="O834" s="16"/>
    </row>
    <row r="835" customFormat="false" ht="15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6"/>
      <c r="O835" s="16"/>
    </row>
    <row r="836" customFormat="false" ht="15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6"/>
      <c r="O836" s="16"/>
    </row>
    <row r="837" customFormat="false" ht="15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6"/>
      <c r="O837" s="16"/>
    </row>
    <row r="838" customFormat="false" ht="15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6"/>
      <c r="O838" s="16"/>
    </row>
    <row r="839" customFormat="false" ht="15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6"/>
      <c r="O839" s="16"/>
    </row>
    <row r="840" customFormat="false" ht="15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6"/>
      <c r="O840" s="16"/>
    </row>
    <row r="841" customFormat="false" ht="15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6"/>
      <c r="O841" s="16"/>
    </row>
    <row r="842" customFormat="false" ht="15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6"/>
      <c r="O842" s="16"/>
    </row>
    <row r="843" customFormat="false" ht="15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6"/>
      <c r="O843" s="16"/>
    </row>
    <row r="844" customFormat="false" ht="15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6"/>
      <c r="O844" s="16"/>
    </row>
    <row r="845" customFormat="false" ht="15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6"/>
      <c r="O845" s="16"/>
    </row>
    <row r="846" customFormat="false" ht="15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6"/>
      <c r="O846" s="16"/>
    </row>
    <row r="847" customFormat="false" ht="15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6"/>
      <c r="O847" s="16"/>
    </row>
    <row r="848" customFormat="false" ht="15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6"/>
      <c r="O848" s="16"/>
    </row>
    <row r="849" customFormat="false" ht="15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6"/>
      <c r="O849" s="16"/>
    </row>
    <row r="850" customFormat="false" ht="15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6"/>
      <c r="O850" s="16"/>
    </row>
    <row r="851" customFormat="false" ht="15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6"/>
      <c r="O851" s="16"/>
    </row>
    <row r="852" customFormat="false" ht="15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6"/>
      <c r="O852" s="16"/>
    </row>
    <row r="853" customFormat="false" ht="15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6"/>
      <c r="O853" s="16"/>
    </row>
    <row r="854" customFormat="false" ht="15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6"/>
      <c r="O854" s="16"/>
    </row>
    <row r="855" customFormat="false" ht="15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6"/>
      <c r="O855" s="16"/>
    </row>
    <row r="856" customFormat="false" ht="15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6"/>
      <c r="O856" s="16"/>
    </row>
    <row r="857" customFormat="false" ht="15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6"/>
      <c r="O857" s="16"/>
    </row>
    <row r="858" customFormat="false" ht="15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6"/>
      <c r="O858" s="16"/>
    </row>
    <row r="859" customFormat="false" ht="15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6"/>
      <c r="O859" s="16"/>
    </row>
    <row r="860" customFormat="false" ht="15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6"/>
      <c r="O860" s="16"/>
    </row>
    <row r="861" customFormat="false" ht="15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6"/>
      <c r="O861" s="16"/>
    </row>
    <row r="862" customFormat="false" ht="15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6"/>
      <c r="O862" s="16"/>
    </row>
    <row r="863" customFormat="false" ht="15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6"/>
      <c r="O863" s="16"/>
    </row>
    <row r="864" customFormat="false" ht="15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6"/>
      <c r="O864" s="16"/>
    </row>
    <row r="865" customFormat="false" ht="15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6"/>
      <c r="O865" s="16"/>
    </row>
    <row r="866" customFormat="false" ht="15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6"/>
      <c r="O866" s="16"/>
    </row>
    <row r="867" customFormat="false" ht="15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6"/>
      <c r="O867" s="16"/>
    </row>
    <row r="868" customFormat="false" ht="15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6"/>
      <c r="O868" s="16"/>
    </row>
    <row r="869" customFormat="false" ht="15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6"/>
      <c r="O869" s="16"/>
    </row>
    <row r="870" customFormat="false" ht="15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6"/>
      <c r="O870" s="16"/>
    </row>
    <row r="871" customFormat="false" ht="15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6"/>
      <c r="O871" s="16"/>
    </row>
    <row r="872" customFormat="false" ht="15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6"/>
      <c r="O872" s="16"/>
    </row>
    <row r="873" customFormat="false" ht="15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6"/>
      <c r="O873" s="16"/>
    </row>
    <row r="874" customFormat="false" ht="15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6"/>
      <c r="O874" s="16"/>
    </row>
    <row r="875" customFormat="false" ht="15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6"/>
      <c r="O875" s="16"/>
    </row>
    <row r="876" customFormat="false" ht="15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6"/>
      <c r="O876" s="16"/>
    </row>
    <row r="877" customFormat="false" ht="15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6"/>
      <c r="O877" s="16"/>
    </row>
    <row r="878" customFormat="false" ht="15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6"/>
      <c r="O878" s="16"/>
    </row>
    <row r="879" customFormat="false" ht="15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6"/>
      <c r="O879" s="16"/>
    </row>
    <row r="880" customFormat="false" ht="15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6"/>
      <c r="O880" s="16"/>
    </row>
    <row r="881" customFormat="false" ht="15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6"/>
      <c r="O881" s="16"/>
    </row>
    <row r="882" customFormat="false" ht="15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6"/>
      <c r="O882" s="16"/>
    </row>
    <row r="883" customFormat="false" ht="15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6"/>
      <c r="O883" s="16"/>
    </row>
    <row r="884" customFormat="false" ht="15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6"/>
      <c r="O884" s="16"/>
    </row>
    <row r="885" customFormat="false" ht="15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6"/>
      <c r="O885" s="16"/>
    </row>
    <row r="886" customFormat="false" ht="15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6"/>
      <c r="O886" s="16"/>
    </row>
    <row r="887" customFormat="false" ht="15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6"/>
      <c r="O887" s="16"/>
    </row>
    <row r="888" customFormat="false" ht="15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6"/>
      <c r="O888" s="16"/>
    </row>
    <row r="889" customFormat="false" ht="15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6"/>
      <c r="O889" s="16"/>
    </row>
    <row r="890" customFormat="false" ht="15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6"/>
      <c r="O890" s="16"/>
    </row>
    <row r="891" customFormat="false" ht="15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6"/>
      <c r="O891" s="16"/>
    </row>
    <row r="892" customFormat="false" ht="15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6"/>
      <c r="O892" s="16"/>
    </row>
    <row r="893" customFormat="false" ht="15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6"/>
      <c r="O893" s="16"/>
    </row>
    <row r="894" customFormat="false" ht="15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6"/>
      <c r="O894" s="16"/>
    </row>
    <row r="895" customFormat="false" ht="15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6"/>
      <c r="O895" s="16"/>
    </row>
    <row r="896" customFormat="false" ht="15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6"/>
      <c r="O896" s="16"/>
    </row>
    <row r="897" customFormat="false" ht="15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6"/>
      <c r="O897" s="16"/>
    </row>
    <row r="898" customFormat="false" ht="15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6"/>
      <c r="O898" s="16"/>
    </row>
    <row r="899" customFormat="false" ht="15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6"/>
      <c r="O899" s="16"/>
    </row>
    <row r="900" customFormat="false" ht="15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6"/>
      <c r="O900" s="16"/>
    </row>
    <row r="901" customFormat="false" ht="15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6"/>
      <c r="O901" s="16"/>
    </row>
    <row r="902" customFormat="false" ht="15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6"/>
      <c r="O902" s="16"/>
    </row>
    <row r="903" customFormat="false" ht="15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6"/>
      <c r="O903" s="16"/>
    </row>
    <row r="904" customFormat="false" ht="15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6"/>
      <c r="O904" s="16"/>
    </row>
    <row r="905" customFormat="false" ht="15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6"/>
      <c r="O905" s="16"/>
    </row>
    <row r="906" customFormat="false" ht="15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6"/>
      <c r="O906" s="16"/>
    </row>
    <row r="907" customFormat="false" ht="15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6"/>
      <c r="O907" s="16"/>
    </row>
    <row r="908" customFormat="false" ht="15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6"/>
      <c r="O908" s="16"/>
    </row>
    <row r="909" customFormat="false" ht="15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6"/>
      <c r="O909" s="16"/>
    </row>
    <row r="910" customFormat="false" ht="15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6"/>
      <c r="O910" s="16"/>
    </row>
    <row r="911" customFormat="false" ht="15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6"/>
      <c r="O911" s="16"/>
    </row>
    <row r="912" customFormat="false" ht="15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6"/>
      <c r="O912" s="16"/>
    </row>
    <row r="913" customFormat="false" ht="15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6"/>
      <c r="O913" s="16"/>
    </row>
    <row r="914" customFormat="false" ht="15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6"/>
      <c r="O914" s="16"/>
    </row>
    <row r="915" customFormat="false" ht="15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6"/>
      <c r="O915" s="16"/>
    </row>
    <row r="916" customFormat="false" ht="15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6"/>
      <c r="O916" s="16"/>
    </row>
    <row r="917" customFormat="false" ht="15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6"/>
      <c r="O917" s="16"/>
    </row>
    <row r="918" customFormat="false" ht="15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6"/>
      <c r="O918" s="16"/>
    </row>
    <row r="919" customFormat="false" ht="15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6"/>
      <c r="O919" s="16"/>
    </row>
    <row r="920" customFormat="false" ht="15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6"/>
      <c r="O920" s="16"/>
    </row>
    <row r="921" customFormat="false" ht="15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6"/>
      <c r="O921" s="16"/>
    </row>
    <row r="922" customFormat="false" ht="15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6"/>
      <c r="O922" s="16"/>
    </row>
    <row r="923" customFormat="false" ht="15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6"/>
      <c r="O923" s="16"/>
    </row>
    <row r="924" customFormat="false" ht="15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6"/>
      <c r="O924" s="16"/>
    </row>
    <row r="925" customFormat="false" ht="15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6"/>
      <c r="O925" s="16"/>
    </row>
    <row r="926" customFormat="false" ht="15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6"/>
      <c r="O926" s="16"/>
    </row>
    <row r="927" customFormat="false" ht="15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6"/>
      <c r="O927" s="16"/>
    </row>
    <row r="928" customFormat="false" ht="15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6"/>
      <c r="O928" s="16"/>
    </row>
    <row r="929" customFormat="false" ht="15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6"/>
      <c r="O929" s="16"/>
    </row>
    <row r="930" customFormat="false" ht="15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6"/>
      <c r="O930" s="16"/>
    </row>
    <row r="931" customFormat="false" ht="15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6"/>
      <c r="O931" s="16"/>
    </row>
    <row r="932" customFormat="false" ht="15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6"/>
      <c r="O932" s="16"/>
    </row>
    <row r="933" customFormat="false" ht="15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6"/>
      <c r="O933" s="16"/>
    </row>
    <row r="934" customFormat="false" ht="15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6"/>
      <c r="O934" s="16"/>
    </row>
    <row r="935" customFormat="false" ht="15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6"/>
      <c r="O935" s="16"/>
    </row>
    <row r="936" customFormat="false" ht="15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6"/>
      <c r="O936" s="16"/>
    </row>
    <row r="937" customFormat="false" ht="15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6"/>
      <c r="O937" s="16"/>
    </row>
    <row r="938" customFormat="false" ht="15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6"/>
      <c r="O938" s="16"/>
    </row>
    <row r="939" customFormat="false" ht="15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6"/>
      <c r="O939" s="16"/>
    </row>
    <row r="940" customFormat="false" ht="15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6"/>
      <c r="O940" s="16"/>
    </row>
    <row r="941" customFormat="false" ht="15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6"/>
      <c r="O941" s="16"/>
    </row>
    <row r="942" customFormat="false" ht="15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6"/>
      <c r="O942" s="16"/>
    </row>
    <row r="943" customFormat="false" ht="15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6"/>
      <c r="O943" s="16"/>
    </row>
    <row r="944" customFormat="false" ht="15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6"/>
      <c r="O944" s="16"/>
    </row>
    <row r="945" customFormat="false" ht="15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6"/>
      <c r="O945" s="16"/>
    </row>
    <row r="946" customFormat="false" ht="15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6"/>
      <c r="O946" s="16"/>
    </row>
    <row r="947" customFormat="false" ht="15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6"/>
      <c r="O947" s="16"/>
    </row>
    <row r="948" customFormat="false" ht="15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6"/>
      <c r="O948" s="16"/>
    </row>
    <row r="949" customFormat="false" ht="15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6"/>
      <c r="O949" s="16"/>
    </row>
    <row r="950" customFormat="false" ht="15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6"/>
      <c r="O950" s="16"/>
    </row>
    <row r="951" customFormat="false" ht="15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6"/>
      <c r="O951" s="16"/>
    </row>
    <row r="952" customFormat="false" ht="15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6"/>
      <c r="O952" s="16"/>
    </row>
    <row r="953" customFormat="false" ht="15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6"/>
      <c r="O953" s="16"/>
    </row>
    <row r="954" customFormat="false" ht="15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6"/>
      <c r="O954" s="16"/>
    </row>
    <row r="955" customFormat="false" ht="15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6"/>
      <c r="O955" s="16"/>
    </row>
    <row r="956" customFormat="false" ht="15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6"/>
      <c r="O956" s="16"/>
    </row>
    <row r="957" customFormat="false" ht="15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6"/>
      <c r="O957" s="16"/>
    </row>
    <row r="958" customFormat="false" ht="15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6"/>
      <c r="O958" s="16"/>
    </row>
    <row r="959" customFormat="false" ht="15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6"/>
      <c r="O959" s="16"/>
    </row>
    <row r="960" customFormat="false" ht="15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6"/>
      <c r="O960" s="16"/>
    </row>
    <row r="961" customFormat="false" ht="15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6"/>
      <c r="O961" s="16"/>
    </row>
    <row r="962" customFormat="false" ht="15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6"/>
      <c r="O962" s="16"/>
    </row>
    <row r="963" customFormat="false" ht="15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6"/>
      <c r="O963" s="16"/>
    </row>
    <row r="964" customFormat="false" ht="15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6"/>
      <c r="O964" s="16"/>
    </row>
    <row r="965" customFormat="false" ht="15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6"/>
      <c r="O965" s="16"/>
    </row>
    <row r="966" customFormat="false" ht="15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6"/>
      <c r="O966" s="16"/>
    </row>
    <row r="967" customFormat="false" ht="15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6"/>
      <c r="O967" s="16"/>
    </row>
    <row r="968" customFormat="false" ht="15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6"/>
      <c r="O968" s="16"/>
    </row>
    <row r="969" customFormat="false" ht="15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6"/>
      <c r="O969" s="16"/>
    </row>
    <row r="970" customFormat="false" ht="15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6"/>
      <c r="O970" s="16"/>
    </row>
    <row r="971" customFormat="false" ht="15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6"/>
      <c r="O971" s="16"/>
    </row>
    <row r="972" customFormat="false" ht="15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6"/>
      <c r="O972" s="16"/>
    </row>
    <row r="973" customFormat="false" ht="15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6"/>
      <c r="O973" s="16"/>
    </row>
    <row r="974" customFormat="false" ht="15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6"/>
      <c r="O974" s="16"/>
    </row>
    <row r="975" customFormat="false" ht="15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6"/>
      <c r="O975" s="16"/>
    </row>
    <row r="976" customFormat="false" ht="15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6"/>
      <c r="O976" s="16"/>
    </row>
    <row r="977" customFormat="false" ht="15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6"/>
      <c r="O977" s="16"/>
    </row>
    <row r="978" customFormat="false" ht="15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6"/>
      <c r="O978" s="16"/>
    </row>
    <row r="979" customFormat="false" ht="15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6"/>
      <c r="O979" s="16"/>
    </row>
    <row r="980" customFormat="false" ht="15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6"/>
      <c r="O980" s="16"/>
    </row>
    <row r="981" customFormat="false" ht="15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6"/>
      <c r="O981" s="16"/>
    </row>
    <row r="982" customFormat="false" ht="15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6"/>
      <c r="O982" s="16"/>
    </row>
    <row r="983" customFormat="false" ht="15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6"/>
      <c r="O983" s="16"/>
    </row>
    <row r="984" customFormat="false" ht="15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6"/>
      <c r="O984" s="16"/>
    </row>
    <row r="985" customFormat="false" ht="15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6"/>
      <c r="O985" s="16"/>
    </row>
    <row r="986" customFormat="false" ht="15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6"/>
      <c r="O986" s="16"/>
    </row>
    <row r="987" customFormat="false" ht="15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6"/>
      <c r="O987" s="16"/>
    </row>
    <row r="988" customFormat="false" ht="15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6"/>
      <c r="O988" s="16"/>
    </row>
    <row r="989" customFormat="false" ht="15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6"/>
      <c r="O989" s="16"/>
    </row>
    <row r="990" customFormat="false" ht="15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6"/>
      <c r="O990" s="16"/>
    </row>
    <row r="991" customFormat="false" ht="15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6"/>
      <c r="O991" s="16"/>
    </row>
    <row r="992" customFormat="false" ht="15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6"/>
      <c r="O992" s="16"/>
    </row>
    <row r="993" customFormat="false" ht="15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6"/>
      <c r="O993" s="16"/>
    </row>
    <row r="994" customFormat="false" ht="15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6"/>
      <c r="O994" s="16"/>
    </row>
    <row r="995" customFormat="false" ht="15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6"/>
      <c r="O995" s="16"/>
    </row>
    <row r="996" customFormat="false" ht="15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6"/>
      <c r="O996" s="16"/>
    </row>
    <row r="997" customFormat="false" ht="15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6"/>
      <c r="O997" s="16"/>
    </row>
    <row r="998" customFormat="false" ht="15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6"/>
      <c r="O998" s="16"/>
    </row>
    <row r="999" customFormat="false" ht="15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6"/>
      <c r="O999" s="16"/>
    </row>
    <row r="1000" customFormat="false" ht="15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6"/>
      <c r="O1000" s="16"/>
    </row>
    <row r="1001" customFormat="false" ht="15" hidden="false" customHeight="tru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6"/>
      <c r="O1001" s="16"/>
    </row>
  </sheetData>
  <autoFilter ref="A1:O1002"/>
  <dataValidations count="6">
    <dataValidation allowBlank="true" errorStyle="stop" operator="between" showDropDown="false" showErrorMessage="false" showInputMessage="false" sqref="B2:B1001" type="list">
      <formula1>목록!$A$1:$A$8</formula1>
      <formula2>0</formula2>
    </dataValidation>
    <dataValidation allowBlank="true" errorStyle="stop" operator="between" showDropDown="false" showErrorMessage="false" showInputMessage="false" sqref="J2:J1001" type="list">
      <formula1>목록!$B$1:$B$10</formula1>
      <formula2>0</formula2>
    </dataValidation>
    <dataValidation allowBlank="true" errorStyle="stop" operator="between" showDropDown="false" showErrorMessage="false" showInputMessage="false" sqref="N2:N1001" type="list">
      <formula1>목록!$C$1:$C$3</formula1>
      <formula2>0</formula2>
    </dataValidation>
    <dataValidation allowBlank="true" errorStyle="stop" operator="between" showDropDown="false" showErrorMessage="false" showInputMessage="false" sqref="F2:F1001" type="list">
      <formula1>목록!$D$1:$D$2</formula1>
      <formula2>0</formula2>
    </dataValidation>
    <dataValidation allowBlank="true" errorStyle="stop" operator="between" showDropDown="false" showErrorMessage="false" showInputMessage="false" sqref="K2:K1001" type="list">
      <formula1>목록!$E$1:$E$5</formula1>
      <formula2>0</formula2>
    </dataValidation>
    <dataValidation allowBlank="true" errorStyle="stop" operator="between" showDropDown="false" showErrorMessage="false" showInputMessage="false" sqref="D2:D1001" type="list">
      <formula1>목록!$F$1:$F$8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104</v>
      </c>
      <c r="B1" s="18" t="s">
        <v>2</v>
      </c>
      <c r="C1" s="18" t="s">
        <v>105</v>
      </c>
      <c r="D1" s="18" t="s">
        <v>39</v>
      </c>
      <c r="E1" s="18" t="s">
        <v>43</v>
      </c>
      <c r="F1" s="1" t="s">
        <v>99</v>
      </c>
    </row>
    <row r="2" customFormat="false" ht="15" hidden="false" customHeight="true" outlineLevel="0" collapsed="false">
      <c r="A2" s="18" t="s">
        <v>15</v>
      </c>
      <c r="B2" s="18" t="s">
        <v>3</v>
      </c>
      <c r="C2" s="18" t="s">
        <v>106</v>
      </c>
      <c r="D2" s="18" t="s">
        <v>63</v>
      </c>
      <c r="E2" s="18" t="s">
        <v>107</v>
      </c>
      <c r="F2" s="1" t="s">
        <v>46</v>
      </c>
    </row>
    <row r="3" customFormat="false" ht="15" hidden="false" customHeight="true" outlineLevel="0" collapsed="false">
      <c r="A3" s="18" t="s">
        <v>16</v>
      </c>
      <c r="B3" s="18" t="s">
        <v>4</v>
      </c>
      <c r="C3" s="18" t="s">
        <v>108</v>
      </c>
      <c r="E3" s="18" t="s">
        <v>74</v>
      </c>
      <c r="F3" s="1" t="s">
        <v>109</v>
      </c>
    </row>
    <row r="4" customFormat="false" ht="15" hidden="false" customHeight="true" outlineLevel="0" collapsed="false">
      <c r="A4" s="18" t="s">
        <v>17</v>
      </c>
      <c r="B4" s="18" t="s">
        <v>5</v>
      </c>
      <c r="E4" s="18" t="s">
        <v>110</v>
      </c>
      <c r="F4" s="1" t="s">
        <v>37</v>
      </c>
    </row>
    <row r="5" customFormat="false" ht="15" hidden="false" customHeight="true" outlineLevel="0" collapsed="false">
      <c r="A5" s="18" t="s">
        <v>18</v>
      </c>
      <c r="B5" s="18" t="s">
        <v>6</v>
      </c>
      <c r="E5" s="18" t="s">
        <v>11</v>
      </c>
      <c r="F5" s="1" t="s">
        <v>54</v>
      </c>
    </row>
    <row r="6" customFormat="false" ht="15" hidden="false" customHeight="true" outlineLevel="0" collapsed="false">
      <c r="A6" s="18" t="s">
        <v>19</v>
      </c>
      <c r="B6" s="18" t="s">
        <v>7</v>
      </c>
      <c r="F6" s="1" t="s">
        <v>111</v>
      </c>
    </row>
    <row r="7" customFormat="false" ht="15" hidden="false" customHeight="true" outlineLevel="0" collapsed="false">
      <c r="A7" s="18" t="s">
        <v>20</v>
      </c>
      <c r="B7" s="18" t="s">
        <v>8</v>
      </c>
      <c r="F7" s="1" t="s">
        <v>112</v>
      </c>
    </row>
    <row r="8" customFormat="false" ht="15" hidden="false" customHeight="true" outlineLevel="0" collapsed="false">
      <c r="A8" s="18" t="s">
        <v>11</v>
      </c>
      <c r="B8" s="18" t="s">
        <v>9</v>
      </c>
      <c r="F8" s="18" t="s">
        <v>11</v>
      </c>
    </row>
    <row r="9" customFormat="false" ht="15" hidden="false" customHeight="true" outlineLevel="0" collapsed="false">
      <c r="B9" s="18" t="s">
        <v>10</v>
      </c>
    </row>
    <row r="10" customFormat="false" ht="15" hidden="false" customHeight="true" outlineLevel="0" collapsed="false">
      <c r="B10" s="18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113</v>
      </c>
    </row>
    <row r="2" customFormat="false" ht="15" hidden="false" customHeight="true" outlineLevel="0" collapsed="false">
      <c r="A2" s="19"/>
    </row>
    <row r="3" customFormat="false" ht="15" hidden="false" customHeight="true" outlineLevel="0" collapsed="false">
      <c r="A3" s="20" t="s">
        <v>114</v>
      </c>
    </row>
    <row r="4" customFormat="false" ht="13.5" hidden="false" customHeight="true" outlineLevel="0" collapsed="false">
      <c r="A4" s="19" t="s">
        <v>115</v>
      </c>
    </row>
    <row r="5" customFormat="false" ht="13.5" hidden="false" customHeight="true" outlineLevel="0" collapsed="false">
      <c r="A5" s="19" t="s">
        <v>116</v>
      </c>
    </row>
    <row r="6" customFormat="false" ht="15" hidden="false" customHeight="true" outlineLevel="0" collapsed="false">
      <c r="A6" s="19"/>
    </row>
    <row r="7" customFormat="false" ht="15" hidden="false" customHeight="true" outlineLevel="0" collapsed="false">
      <c r="A7" s="20" t="s">
        <v>117</v>
      </c>
    </row>
    <row r="8" customFormat="false" ht="13.5" hidden="false" customHeight="true" outlineLevel="0" collapsed="false">
      <c r="A8" s="19" t="s">
        <v>118</v>
      </c>
    </row>
    <row r="9" customFormat="false" ht="13.5" hidden="false" customHeight="true" outlineLevel="0" collapsed="false">
      <c r="A9" s="19" t="s">
        <v>119</v>
      </c>
    </row>
    <row r="10" customFormat="false" ht="15" hidden="false" customHeight="true" outlineLevel="0" collapsed="false">
      <c r="A10" s="19"/>
    </row>
    <row r="11" customFormat="false" ht="13.5" hidden="false" customHeight="true" outlineLevel="0" collapsed="false">
      <c r="A11" s="21"/>
    </row>
    <row r="12" customFormat="false" ht="15" hidden="false" customHeight="true" outlineLevel="0" collapsed="false">
      <c r="A12" s="19"/>
    </row>
    <row r="13" customFormat="false" ht="13.5" hidden="false" customHeight="true" outlineLevel="0" collapsed="false">
      <c r="A13" s="20" t="s">
        <v>120</v>
      </c>
    </row>
    <row r="14" customFormat="false" ht="13.5" hidden="false" customHeight="true" outlineLevel="0" collapsed="false">
      <c r="A14" s="20" t="s">
        <v>121</v>
      </c>
    </row>
    <row r="15" customFormat="false" ht="15" hidden="false" customHeight="true" outlineLevel="0" collapsed="false">
      <c r="A15" s="19"/>
    </row>
    <row r="16" customFormat="false" ht="15" hidden="false" customHeight="true" outlineLevel="0" collapsed="false">
      <c r="A16" s="20"/>
    </row>
    <row r="17" customFormat="false" ht="13.5" hidden="false" customHeight="true" outlineLevel="0" collapsed="false">
      <c r="A17" s="19"/>
    </row>
    <row r="18" customFormat="false" ht="13.5" hidden="false" customHeight="true" outlineLevel="0" collapsed="false">
      <c r="A18" s="19"/>
    </row>
    <row r="19" customFormat="false" ht="13.5" hidden="false" customHeight="true" outlineLevel="0" collapsed="false">
      <c r="A19" s="22"/>
    </row>
    <row r="20" customFormat="false" ht="13.5" hidden="false" customHeight="true" outlineLevel="0" collapsed="false">
      <c r="A2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2026-10-26T12:18:54Z</dcterms:created>
  <dc:creator>openpyxl</dc:creator>
  <dc:description/>
  <dc:language>en-US</dc:language>
  <cp:lastModifiedBy/>
  <dcterms:modified xsi:type="dcterms:W3CDTF">2026-10-28T00:15:43Z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