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업체별 요약" sheetId="1" state="visible" r:id="rId3"/>
    <sheet name="특허목록" sheetId="2" state="visible" r:id="rId4"/>
    <sheet name="목록" sheetId="3" state="hidden" r:id="rId5"/>
    <sheet name="사용법" sheetId="4" state="visible" r:id="rId6"/>
  </sheets>
  <definedNames>
    <definedName function="false" hidden="true" localSheetId="1" name="_xlnm._FilterDatabase" vbProcedure="false">특허목록!$A$1:$O$202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WenQuanYi Zen Hei"/>
            <family val="2"/>
          </rPr>
          <t xml:space="preserve">공개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출원 공개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등록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특허 등록</t>
        </r>
      </text>
    </comment>
    <comment ref="J1" authorId="0">
      <text>
        <r>
          <rPr>
            <sz val="10"/>
            <rFont val="WenQuanYi Zen Hei"/>
            <family val="2"/>
          </rPr>
          <t xml:space="preserve">임펠러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디퓨저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볼류트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에어포일 베어링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기타 베어링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자기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볼 등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WenQuanYi Zen Hei"/>
            <family val="2"/>
          </rPr>
          <t xml:space="preserve">회전체 구조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로터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축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임펠러 체결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로터다이내믹스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WenQuanYi Zen Hei"/>
            <family val="2"/>
          </rPr>
          <t xml:space="preserve">모터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냉각유로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모터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베어링 냉각 유로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WenQuanYi Zen Hei"/>
            <family val="2"/>
          </rPr>
          <t xml:space="preserve">제어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서지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시스템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기타</t>
        </r>
      </text>
    </comment>
    <comment ref="N1" authorId="0">
      <text>
        <r>
          <rPr>
            <sz val="10"/>
            <rFont val="WenQuanYi Zen Hei"/>
            <family val="2"/>
          </rPr>
          <t xml:space="preserve">검토자 입력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중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하</t>
        </r>
      </text>
    </comment>
  </commentList>
</comments>
</file>

<file path=xl/sharedStrings.xml><?xml version="1.0" encoding="utf-8"?>
<sst xmlns="http://schemas.openxmlformats.org/spreadsheetml/2006/main" count="103" uniqueCount="80">
  <si>
    <r>
      <rPr>
        <b val="true"/>
        <sz val="12"/>
        <rFont val="WenQuanYi Zen Hei"/>
        <family val="2"/>
      </rPr>
      <t xml:space="preserve">업체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설계 분야 건수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특허목록 시트에서 자동 집계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예시 행 포함</t>
    </r>
    <r>
      <rPr>
        <b val="true"/>
        <sz val="12"/>
        <rFont val="Arial"/>
        <family val="0"/>
        <charset val="1"/>
      </rPr>
      <t xml:space="preserve">)</t>
    </r>
  </si>
  <si>
    <t xml:space="preserve">업체</t>
  </si>
  <si>
    <t xml:space="preserve">임펠러</t>
  </si>
  <si>
    <r>
      <rPr>
        <b val="true"/>
        <sz val="11"/>
        <color rgb="FFFFFFFF"/>
        <rFont val="WenQuanYi Zen Hei"/>
        <family val="2"/>
      </rPr>
      <t xml:space="preserve">디퓨저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WenQuanYi Zen Hei"/>
        <family val="2"/>
      </rPr>
      <t xml:space="preserve">볼류트</t>
    </r>
  </si>
  <si>
    <t xml:space="preserve">에어포일 베어링</t>
  </si>
  <si>
    <t xml:space="preserve">기타 베어링</t>
  </si>
  <si>
    <t xml:space="preserve">회전체 구조</t>
  </si>
  <si>
    <t xml:space="preserve">모터</t>
  </si>
  <si>
    <t xml:space="preserve">냉각유로</t>
  </si>
  <si>
    <r>
      <rPr>
        <b val="true"/>
        <sz val="11"/>
        <color rgb="FFFFFFFF"/>
        <rFont val="WenQuanYi Zen Hei"/>
        <family val="2"/>
      </rPr>
      <t xml:space="preserve">제어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WenQuanYi Zen Hei"/>
        <family val="2"/>
      </rPr>
      <t xml:space="preserve">서지</t>
    </r>
  </si>
  <si>
    <t xml:space="preserve">시스템</t>
  </si>
  <si>
    <t xml:space="preserve">기타</t>
  </si>
  <si>
    <t xml:space="preserve">합계</t>
  </si>
  <si>
    <r>
      <rPr>
        <b val="true"/>
        <sz val="11"/>
        <color rgb="FFFFFFFF"/>
        <rFont val="WenQuanYi Zen Hei"/>
        <family val="2"/>
      </rPr>
      <t xml:space="preserve">중요도 </t>
    </r>
    <r>
      <rPr>
        <b val="true"/>
        <sz val="11"/>
        <color rgb="FFFFFFFF"/>
        <rFont val="Arial"/>
        <family val="0"/>
        <charset val="1"/>
      </rPr>
      <t xml:space="preserve">'</t>
    </r>
    <r>
      <rPr>
        <b val="true"/>
        <sz val="11"/>
        <color rgb="FFFFFFFF"/>
        <rFont val="WenQuanYi Zen Hei"/>
        <family val="2"/>
      </rPr>
      <t xml:space="preserve">상</t>
    </r>
    <r>
      <rPr>
        <b val="true"/>
        <sz val="11"/>
        <color rgb="FFFFFFFF"/>
        <rFont val="Arial"/>
        <family val="0"/>
        <charset val="1"/>
      </rPr>
      <t xml:space="preserve">'</t>
    </r>
  </si>
  <si>
    <r>
      <rPr>
        <b val="true"/>
        <sz val="11"/>
        <rFont val="Arial"/>
        <family val="0"/>
        <charset val="1"/>
      </rPr>
      <t xml:space="preserve">LG</t>
    </r>
    <r>
      <rPr>
        <b val="true"/>
        <sz val="11"/>
        <rFont val="WenQuanYi Zen Hei"/>
        <family val="2"/>
      </rPr>
      <t xml:space="preserve">전자</t>
    </r>
  </si>
  <si>
    <t xml:space="preserve">댄포스</t>
  </si>
  <si>
    <t xml:space="preserve">코플랜드</t>
  </si>
  <si>
    <t xml:space="preserve">덴소</t>
  </si>
  <si>
    <t xml:space="preserve">다이킨</t>
  </si>
  <si>
    <t xml:space="preserve">티앤이코리아</t>
  </si>
  <si>
    <t xml:space="preserve">터보맥스</t>
  </si>
  <si>
    <t xml:space="preserve">보고일</t>
  </si>
  <si>
    <r>
      <rPr>
        <b val="true"/>
        <sz val="11"/>
        <color rgb="FFFFFFFF"/>
        <rFont val="WenQuanYi Zen Hei"/>
        <family val="2"/>
      </rPr>
      <t xml:space="preserve">출원인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</si>
  <si>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국가</t>
  </si>
  <si>
    <r>
      <rPr>
        <b val="true"/>
        <sz val="11"/>
        <color rgb="FFFFFFFF"/>
        <rFont val="WenQuanYi Zen Hei"/>
        <family val="2"/>
      </rPr>
      <t xml:space="preserve">공개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등록번호</t>
    </r>
  </si>
  <si>
    <t xml:space="preserve">구분</t>
  </si>
  <si>
    <t xml:space="preserve">제목</t>
  </si>
  <si>
    <t xml:space="preserve">공개일</t>
  </si>
  <si>
    <t xml:space="preserve">출원일</t>
  </si>
  <si>
    <t xml:space="preserve">설계 분야</t>
  </si>
  <si>
    <t xml:space="preserve">용도</t>
  </si>
  <si>
    <r>
      <rPr>
        <b val="true"/>
        <sz val="11"/>
        <color rgb="FFFFFFFF"/>
        <rFont val="WenQuanYi Zen Hei"/>
        <family val="2"/>
      </rPr>
      <t xml:space="preserve">핵심 내용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설계 관점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</si>
  <si>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링크</t>
  </si>
  <si>
    <t xml:space="preserve">중요도</t>
  </si>
  <si>
    <t xml:space="preserve">검토 메모</t>
  </si>
  <si>
    <t xml:space="preserve">2026-11-02</t>
  </si>
  <si>
    <r>
      <rPr>
        <i val="true"/>
        <sz val="10"/>
        <color rgb="FF7F7F7F"/>
        <rFont val="Arial"/>
        <family val="0"/>
        <charset val="1"/>
      </rPr>
      <t xml:space="preserve">LG</t>
    </r>
    <r>
      <rPr>
        <i val="true"/>
        <sz val="10"/>
        <color rgb="FF7F7F7F"/>
        <rFont val="WenQuanYi Zen Hei"/>
        <family val="2"/>
      </rPr>
      <t xml:space="preserve">전자</t>
    </r>
  </si>
  <si>
    <t xml:space="preserve">LG Electronics Inc.</t>
  </si>
  <si>
    <t xml:space="preserve">KR</t>
  </si>
  <si>
    <r>
      <rPr>
        <i val="true"/>
        <sz val="10"/>
        <color rgb="FF7F7F7F"/>
        <rFont val="Arial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예시</t>
    </r>
    <r>
      <rPr>
        <i val="true"/>
        <sz val="10"/>
        <color rgb="FF7F7F7F"/>
        <rFont val="Arial"/>
        <family val="0"/>
        <charset val="1"/>
      </rPr>
      <t xml:space="preserve">) KR 10-2026-0000000</t>
    </r>
  </si>
  <si>
    <t xml:space="preserve">공개</t>
  </si>
  <si>
    <r>
      <rPr>
        <i val="true"/>
        <sz val="10"/>
        <color rgb="FF7F7F7F"/>
        <rFont val="Arial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예시</t>
    </r>
    <r>
      <rPr>
        <i val="true"/>
        <sz val="10"/>
        <color rgb="FF7F7F7F"/>
        <rFont val="Arial"/>
        <family val="0"/>
        <charset val="1"/>
      </rPr>
      <t xml:space="preserve">) </t>
    </r>
    <r>
      <rPr>
        <i val="true"/>
        <sz val="10"/>
        <color rgb="FF7F7F7F"/>
        <rFont val="WenQuanYi Zen Hei"/>
        <family val="2"/>
      </rPr>
      <t xml:space="preserve">원심압축기의 베인 디퓨저 구조</t>
    </r>
  </si>
  <si>
    <t xml:space="preserve">2026-10-28</t>
  </si>
  <si>
    <t xml:space="preserve">2025-04-15</t>
  </si>
  <si>
    <r>
      <rPr>
        <i val="true"/>
        <sz val="10"/>
        <color rgb="FF7F7F7F"/>
        <rFont val="WenQuanYi Zen Hei"/>
        <family val="2"/>
      </rPr>
      <t xml:space="preserve">디퓨저</t>
    </r>
    <r>
      <rPr>
        <i val="true"/>
        <sz val="10"/>
        <color rgb="FF7F7F7F"/>
        <rFont val="Arial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볼류트</t>
    </r>
  </si>
  <si>
    <r>
      <rPr>
        <i val="true"/>
        <sz val="10"/>
        <color rgb="FF7F7F7F"/>
        <rFont val="WenQuanYi Zen Hei"/>
        <family val="2"/>
      </rPr>
      <t xml:space="preserve">냉매</t>
    </r>
    <r>
      <rPr>
        <i val="true"/>
        <sz val="10"/>
        <color rgb="FF7F7F7F"/>
        <rFont val="Arial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칠러</t>
    </r>
    <r>
      <rPr>
        <i val="true"/>
        <sz val="10"/>
        <color rgb="FF7F7F7F"/>
        <rFont val="Arial"/>
        <family val="0"/>
        <charset val="1"/>
      </rPr>
      <t xml:space="preserve">)</t>
    </r>
  </si>
  <si>
    <r>
      <rPr>
        <i val="true"/>
        <sz val="10"/>
        <color rgb="FF7F7F7F"/>
        <rFont val="Arial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예시 행 – 실제 특허 아님</t>
    </r>
    <r>
      <rPr>
        <i val="true"/>
        <sz val="10"/>
        <color rgb="FF7F7F7F"/>
        <rFont val="Arial"/>
        <family val="0"/>
        <charset val="1"/>
      </rPr>
      <t xml:space="preserve">) </t>
    </r>
    <r>
      <rPr>
        <i val="true"/>
        <sz val="10"/>
        <color rgb="FF7F7F7F"/>
        <rFont val="WenQuanYi Zen Hei"/>
        <family val="2"/>
      </rPr>
      <t xml:space="preserve">디퓨저 베인 각도를 유량에 따라 가변해 저유량 서지 마진 확보</t>
    </r>
    <r>
      <rPr>
        <i val="true"/>
        <sz val="10"/>
        <color rgb="FF7F7F7F"/>
        <rFont val="Arial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기존 대비 작동 범위 확대 주장</t>
    </r>
    <r>
      <rPr>
        <i val="true"/>
        <sz val="10"/>
        <color rgb="FF7F7F7F"/>
        <rFont val="Arial"/>
        <family val="0"/>
        <charset val="1"/>
      </rPr>
      <t xml:space="preserve">.</t>
    </r>
  </si>
  <si>
    <t xml:space="preserve">https://patents.google.com/...</t>
  </si>
  <si>
    <t xml:space="preserve">상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</si>
  <si>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전자</t>
    </r>
  </si>
  <si>
    <r>
      <rPr>
        <sz val="11"/>
        <color theme="1"/>
        <rFont val="WenQuanYi Zen Hei"/>
        <family val="2"/>
      </rPr>
      <t xml:space="preserve">냉매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칠러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</si>
  <si>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디퓨저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볼류트</t>
    </r>
  </si>
  <si>
    <t xml:space="preserve">중</t>
  </si>
  <si>
    <t xml:space="preserve">등록</t>
  </si>
  <si>
    <r>
      <rPr>
        <sz val="11"/>
        <color theme="1"/>
        <rFont val="WenQuanYi Zen Hei"/>
        <family val="2"/>
      </rPr>
      <t xml:space="preserve">냉매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히트펌프</t>
    </r>
    <r>
      <rPr>
        <sz val="11"/>
        <color theme="1"/>
        <rFont val="Calibri"/>
        <family val="2"/>
        <charset val="1"/>
      </rPr>
      <t xml:space="preserve">)</t>
    </r>
  </si>
  <si>
    <t xml:space="preserve">US</t>
  </si>
  <si>
    <t xml:space="preserve">하</t>
  </si>
  <si>
    <r>
      <rPr>
        <sz val="11"/>
        <color theme="1"/>
        <rFont val="WenQuanYi Zen Hei"/>
        <family val="2"/>
      </rPr>
      <t xml:space="preserve">공기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블로어</t>
    </r>
    <r>
      <rPr>
        <sz val="11"/>
        <color theme="1"/>
        <rFont val="Calibri"/>
        <family val="2"/>
        <charset val="1"/>
      </rPr>
      <t xml:space="preserve">)</t>
    </r>
  </si>
  <si>
    <t xml:space="preserve">EP</t>
  </si>
  <si>
    <r>
      <rPr>
        <sz val="11"/>
        <color theme="1"/>
        <rFont val="WenQuanYi Zen Hei"/>
        <family val="2"/>
      </rPr>
      <t xml:space="preserve">차량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연료전지</t>
    </r>
  </si>
  <si>
    <t xml:space="preserve">WO</t>
  </si>
  <si>
    <t xml:space="preserve">JP</t>
  </si>
  <si>
    <t xml:space="preserve">CN</t>
  </si>
  <si>
    <t xml:space="preserve">DE</t>
  </si>
  <si>
    <r>
      <rPr>
        <sz val="11"/>
        <color theme="1"/>
        <rFont val="WenQuanYi Zen Hei"/>
        <family val="2"/>
      </rPr>
      <t xml:space="preserve">제어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서지</t>
    </r>
  </si>
  <si>
    <r>
      <rPr>
        <b val="true"/>
        <sz val="12"/>
        <rFont val="WenQuanYi Zen Hei"/>
        <family val="2"/>
      </rPr>
      <t xml:space="preserve">터보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원심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WenQuanYi Zen Hei"/>
        <family val="2"/>
      </rPr>
      <t xml:space="preserve">압축기 특허 주간 정리 – 엑셀 양식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검토용 초안</t>
    </r>
    <r>
      <rPr>
        <b val="true"/>
        <sz val="12"/>
        <rFont val="Arial"/>
        <family val="0"/>
        <charset val="1"/>
      </rPr>
      <t xml:space="preserve">)</t>
    </r>
  </si>
  <si>
    <t xml:space="preserve">■ 시트 구성</t>
  </si>
  <si>
    <r>
      <rPr>
        <sz val="10"/>
        <rFont val="Arial"/>
        <family val="0"/>
        <charset val="1"/>
      </rPr>
      <t xml:space="preserve">  · </t>
    </r>
    <r>
      <rPr>
        <sz val="10"/>
        <rFont val="WenQuanYi Zen Hei"/>
        <family val="2"/>
      </rPr>
      <t xml:space="preserve">업체별 요약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업체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설계 분야 건수가 자동으로 계산됩니다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직접 입력 </t>
    </r>
    <r>
      <rPr>
        <sz val="10"/>
        <rFont val="Arial"/>
        <family val="0"/>
        <charset val="1"/>
      </rPr>
      <t xml:space="preserve">X).</t>
    </r>
  </si>
  <si>
    <r>
      <rPr>
        <sz val="10"/>
        <rFont val="Arial"/>
        <family val="0"/>
        <charset val="1"/>
      </rPr>
      <t xml:space="preserve">  · </t>
    </r>
    <r>
      <rPr>
        <sz val="10"/>
        <rFont val="WenQuanYi Zen Hei"/>
        <family val="2"/>
      </rPr>
      <t xml:space="preserve">특허목록  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매주 새 특허가 아래로 계속 쌓입니다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파일이 아니라 누적 방식</t>
    </r>
    <r>
      <rPr>
        <sz val="10"/>
        <rFont val="Arial"/>
        <family val="0"/>
        <charset val="1"/>
      </rPr>
      <t xml:space="preserve">.</t>
    </r>
  </si>
  <si>
    <t xml:space="preserve">■ 누가 무엇을 채우나</t>
  </si>
  <si>
    <r>
      <rPr>
        <sz val="10"/>
        <rFont val="Arial"/>
        <family val="0"/>
        <charset val="1"/>
      </rPr>
      <t xml:space="preserve">  · A~M</t>
    </r>
    <r>
      <rPr>
        <sz val="10"/>
        <rFont val="WenQuanYi Zen Hei"/>
        <family val="2"/>
      </rPr>
      <t xml:space="preserve">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파란 머리글</t>
    </r>
    <r>
      <rPr>
        <sz val="10"/>
        <rFont val="Arial"/>
        <family val="0"/>
        <charset val="1"/>
      </rPr>
      <t xml:space="preserve">) : Claude</t>
    </r>
    <r>
      <rPr>
        <sz val="10"/>
        <rFont val="WenQuanYi Zen Hei"/>
        <family val="2"/>
      </rPr>
      <t xml:space="preserve">가 매주 자동 입력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</si>
  <si>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· N~O</t>
    </r>
    <r>
      <rPr>
        <sz val="10"/>
        <rFont val="WenQuanYi Zen Hei"/>
        <family val="2"/>
      </rPr>
      <t xml:space="preserve">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노란 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금색 머리글</t>
    </r>
    <r>
      <rPr>
        <sz val="10"/>
        <rFont val="Arial"/>
        <family val="0"/>
        <charset val="1"/>
      </rPr>
      <t xml:space="preserve">) : </t>
    </r>
    <r>
      <rPr>
        <sz val="10"/>
        <rFont val="WenQuanYi Zen Hei"/>
        <family val="2"/>
      </rPr>
      <t xml:space="preserve">검토자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본인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중요도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메모를 입력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</si>
  <si>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■ 2</t>
    </r>
    <r>
      <rPr>
        <b val="true"/>
        <sz val="10"/>
        <rFont val="WenQuanYi Zen Hei"/>
        <family val="2"/>
      </rPr>
      <t xml:space="preserve">행은 형식을 보여주는 예시입니다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실제 특허 아님</t>
    </r>
    <r>
      <rPr>
        <b val="true"/>
        <sz val="10"/>
        <rFont val="Arial"/>
        <family val="0"/>
        <charset val="1"/>
      </rPr>
      <t xml:space="preserve">). </t>
    </r>
    <r>
      <rPr>
        <b val="true"/>
        <sz val="10"/>
        <rFont val="WenQuanYi Zen Hei"/>
        <family val="2"/>
      </rPr>
      <t xml:space="preserve">실제 운영 시 삭제됩니다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</si>
  <si>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■ 드롭다운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 목록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칸 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업체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국가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구분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설계 분야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용도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중요도</t>
    </r>
  </si>
  <si>
    <r>
      <rPr>
        <b val="true"/>
        <sz val="10"/>
        <rFont val="WenQuanYi Zen Hei"/>
        <family val="2"/>
      </rPr>
      <t xml:space="preserve">■ 머리글에 필터가 걸려 있어 업체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설계 분야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중요도로 걸러 볼 수 있습니다</t>
    </r>
    <r>
      <rPr>
        <b val="true"/>
        <sz val="10"/>
        <rFont val="Arial"/>
        <family val="0"/>
        <charset val="1"/>
      </rPr>
      <t xml:space="preserve">.</t>
    </r>
  </si>
  <si>
    <t xml:space="preserve">■ 검토해 주실 점</t>
  </si>
  <si>
    <r>
      <rPr>
        <sz val="10"/>
        <rFont val="Arial"/>
        <family val="0"/>
        <charset val="1"/>
      </rPr>
      <t xml:space="preserve">  1) 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항목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빠졌거나 필요 없는 것이 있는지</t>
    </r>
  </si>
  <si>
    <r>
      <rPr>
        <sz val="10"/>
        <rFont val="Arial"/>
        <family val="0"/>
        <charset val="1"/>
      </rPr>
      <t xml:space="preserve">  2) </t>
    </r>
    <r>
      <rPr>
        <sz val="10"/>
        <rFont val="WenQuanYi Zen Hei"/>
        <family val="2"/>
      </rPr>
      <t xml:space="preserve">설계 분야 분류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임펠러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디퓨저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볼류트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에어포일 베어링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기타 베어링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회전체 구조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냉각유로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제어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시스템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적절한지</t>
    </r>
  </si>
  <si>
    <r>
      <rPr>
        <sz val="10"/>
        <rFont val="WenQuanYi Zen Hei"/>
        <family val="2"/>
      </rPr>
      <t xml:space="preserve">  ※ 중점 분야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에어포일 베어링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회전체 구조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냉각유로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개 업체 외 출원인 특허도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업체로 포함됩니다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</si>
  <si>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3) </t>
    </r>
    <r>
      <rPr>
        <sz val="10"/>
        <rFont val="WenQuanYi Zen Hei"/>
        <family val="2"/>
      </rPr>
      <t xml:space="preserve">누적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파일 방식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주차별 별도 파일 방식 중 선호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</si>
</sst>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7F7F7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sz val="11"/>
      <color theme="1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2"/>
  </cols>
  <sheetData>
    <row r="1" customFormat="false" ht="16.4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4" t="s">
        <v>12</v>
      </c>
      <c r="M3" s="4" t="s">
        <v>13</v>
      </c>
    </row>
    <row r="4" customFormat="false" ht="15" hidden="false" customHeight="false" outlineLevel="0" collapsed="false">
      <c r="A4" s="5" t="s">
        <v>14</v>
      </c>
      <c r="B4" s="6" t="n">
        <f aca="false">COUNTIFS(특허목록!$B:$B,$A4,특허목록!$J:$J,B$3)</f>
        <v>0</v>
      </c>
      <c r="C4" s="6" t="n">
        <f aca="false">COUNTIFS(특허목록!$B:$B,$A4,특허목록!$J:$J,C$3)</f>
        <v>1</v>
      </c>
      <c r="D4" s="6" t="n">
        <f aca="false">COUNTIFS(특허목록!$B:$B,$A4,특허목록!$J:$J,D$3)</f>
        <v>0</v>
      </c>
      <c r="E4" s="6" t="n">
        <f aca="false">COUNTIFS(특허목록!$B:$B,$A4,특허목록!$J:$J,E$3)</f>
        <v>0</v>
      </c>
      <c r="F4" s="6" t="n">
        <f aca="false">COUNTIFS(특허목록!$B:$B,$A4,특허목록!$J:$J,F$3)</f>
        <v>0</v>
      </c>
      <c r="G4" s="6" t="n">
        <f aca="false">COUNTIFS(특허목록!$B:$B,$A4,특허목록!$J:$J,G$3)</f>
        <v>0</v>
      </c>
      <c r="H4" s="6" t="n">
        <f aca="false">COUNTIFS(특허목록!$B:$B,$A4,특허목록!$J:$J,H$3)</f>
        <v>0</v>
      </c>
      <c r="I4" s="6" t="n">
        <f aca="false">COUNTIFS(특허목록!$B:$B,$A4,특허목록!$J:$J,I$3)</f>
        <v>0</v>
      </c>
      <c r="J4" s="6" t="n">
        <f aca="false">COUNTIFS(특허목록!$B:$B,$A4,특허목록!$J:$J,J$3)</f>
        <v>0</v>
      </c>
      <c r="K4" s="6" t="n">
        <f aca="false">COUNTIFS(특허목록!$B:$B,$A4,특허목록!$J:$J,K$3)</f>
        <v>0</v>
      </c>
      <c r="L4" s="7" t="n">
        <f aca="false">SUM(B4:K4)</f>
        <v>1</v>
      </c>
      <c r="M4" s="7" t="n">
        <f aca="false">COUNTIFS(특허목록!$B:$B,$A4,특허목록!$N:$N,"상")</f>
        <v>1</v>
      </c>
    </row>
    <row r="5" customFormat="false" ht="15" hidden="false" customHeight="false" outlineLevel="0" collapsed="false">
      <c r="A5" s="8" t="s">
        <v>15</v>
      </c>
      <c r="B5" s="6" t="n">
        <f aca="false">COUNTIFS(특허목록!$B:$B,$A5,특허목록!$J:$J,B$3)</f>
        <v>0</v>
      </c>
      <c r="C5" s="6" t="n">
        <f aca="false">COUNTIFS(특허목록!$B:$B,$A5,특허목록!$J:$J,C$3)</f>
        <v>0</v>
      </c>
      <c r="D5" s="6" t="n">
        <f aca="false">COUNTIFS(특허목록!$B:$B,$A5,특허목록!$J:$J,D$3)</f>
        <v>0</v>
      </c>
      <c r="E5" s="6" t="n">
        <f aca="false">COUNTIFS(특허목록!$B:$B,$A5,특허목록!$J:$J,E$3)</f>
        <v>0</v>
      </c>
      <c r="F5" s="6" t="n">
        <f aca="false">COUNTIFS(특허목록!$B:$B,$A5,특허목록!$J:$J,F$3)</f>
        <v>0</v>
      </c>
      <c r="G5" s="6" t="n">
        <f aca="false">COUNTIFS(특허목록!$B:$B,$A5,특허목록!$J:$J,G$3)</f>
        <v>0</v>
      </c>
      <c r="H5" s="6" t="n">
        <f aca="false">COUNTIFS(특허목록!$B:$B,$A5,특허목록!$J:$J,H$3)</f>
        <v>0</v>
      </c>
      <c r="I5" s="6" t="n">
        <f aca="false">COUNTIFS(특허목록!$B:$B,$A5,특허목록!$J:$J,I$3)</f>
        <v>0</v>
      </c>
      <c r="J5" s="6" t="n">
        <f aca="false">COUNTIFS(특허목록!$B:$B,$A5,특허목록!$J:$J,J$3)</f>
        <v>0</v>
      </c>
      <c r="K5" s="6" t="n">
        <f aca="false">COUNTIFS(특허목록!$B:$B,$A5,특허목록!$J:$J,K$3)</f>
        <v>0</v>
      </c>
      <c r="L5" s="7" t="n">
        <f aca="false">SUM(B5:K5)</f>
        <v>0</v>
      </c>
      <c r="M5" s="7" t="n">
        <f aca="false">COUNTIFS(특허목록!$B:$B,$A5,특허목록!$N:$N,"상")</f>
        <v>0</v>
      </c>
    </row>
    <row r="6" customFormat="false" ht="15" hidden="false" customHeight="false" outlineLevel="0" collapsed="false">
      <c r="A6" s="8" t="s">
        <v>16</v>
      </c>
      <c r="B6" s="6" t="n">
        <f aca="false">COUNTIFS(특허목록!$B:$B,$A6,특허목록!$J:$J,B$3)</f>
        <v>0</v>
      </c>
      <c r="C6" s="6" t="n">
        <f aca="false">COUNTIFS(특허목록!$B:$B,$A6,특허목록!$J:$J,C$3)</f>
        <v>0</v>
      </c>
      <c r="D6" s="6" t="n">
        <f aca="false">COUNTIFS(특허목록!$B:$B,$A6,특허목록!$J:$J,D$3)</f>
        <v>0</v>
      </c>
      <c r="E6" s="6" t="n">
        <f aca="false">COUNTIFS(특허목록!$B:$B,$A6,특허목록!$J:$J,E$3)</f>
        <v>0</v>
      </c>
      <c r="F6" s="6" t="n">
        <f aca="false">COUNTIFS(특허목록!$B:$B,$A6,특허목록!$J:$J,F$3)</f>
        <v>0</v>
      </c>
      <c r="G6" s="6" t="n">
        <f aca="false">COUNTIFS(특허목록!$B:$B,$A6,특허목록!$J:$J,G$3)</f>
        <v>0</v>
      </c>
      <c r="H6" s="6" t="n">
        <f aca="false">COUNTIFS(특허목록!$B:$B,$A6,특허목록!$J:$J,H$3)</f>
        <v>0</v>
      </c>
      <c r="I6" s="6" t="n">
        <f aca="false">COUNTIFS(특허목록!$B:$B,$A6,특허목록!$J:$J,I$3)</f>
        <v>0</v>
      </c>
      <c r="J6" s="6" t="n">
        <f aca="false">COUNTIFS(특허목록!$B:$B,$A6,특허목록!$J:$J,J$3)</f>
        <v>0</v>
      </c>
      <c r="K6" s="6" t="n">
        <f aca="false">COUNTIFS(특허목록!$B:$B,$A6,특허목록!$J:$J,K$3)</f>
        <v>0</v>
      </c>
      <c r="L6" s="7" t="n">
        <f aca="false">SUM(B6:K6)</f>
        <v>0</v>
      </c>
      <c r="M6" s="7" t="n">
        <f aca="false">COUNTIFS(특허목록!$B:$B,$A6,특허목록!$N:$N,"상")</f>
        <v>0</v>
      </c>
    </row>
    <row r="7" customFormat="false" ht="15" hidden="false" customHeight="false" outlineLevel="0" collapsed="false">
      <c r="A7" s="8" t="s">
        <v>17</v>
      </c>
      <c r="B7" s="6" t="n">
        <f aca="false">COUNTIFS(특허목록!$B:$B,$A7,특허목록!$J:$J,B$3)</f>
        <v>0</v>
      </c>
      <c r="C7" s="6" t="n">
        <f aca="false">COUNTIFS(특허목록!$B:$B,$A7,특허목록!$J:$J,C$3)</f>
        <v>0</v>
      </c>
      <c r="D7" s="6" t="n">
        <f aca="false">COUNTIFS(특허목록!$B:$B,$A7,특허목록!$J:$J,D$3)</f>
        <v>0</v>
      </c>
      <c r="E7" s="6" t="n">
        <f aca="false">COUNTIFS(특허목록!$B:$B,$A7,특허목록!$J:$J,E$3)</f>
        <v>0</v>
      </c>
      <c r="F7" s="6" t="n">
        <f aca="false">COUNTIFS(특허목록!$B:$B,$A7,특허목록!$J:$J,F$3)</f>
        <v>0</v>
      </c>
      <c r="G7" s="6" t="n">
        <f aca="false">COUNTIFS(특허목록!$B:$B,$A7,특허목록!$J:$J,G$3)</f>
        <v>0</v>
      </c>
      <c r="H7" s="6" t="n">
        <f aca="false">COUNTIFS(특허목록!$B:$B,$A7,특허목록!$J:$J,H$3)</f>
        <v>0</v>
      </c>
      <c r="I7" s="6" t="n">
        <f aca="false">COUNTIFS(특허목록!$B:$B,$A7,특허목록!$J:$J,I$3)</f>
        <v>0</v>
      </c>
      <c r="J7" s="6" t="n">
        <f aca="false">COUNTIFS(특허목록!$B:$B,$A7,특허목록!$J:$J,J$3)</f>
        <v>0</v>
      </c>
      <c r="K7" s="6" t="n">
        <f aca="false">COUNTIFS(특허목록!$B:$B,$A7,특허목록!$J:$J,K$3)</f>
        <v>0</v>
      </c>
      <c r="L7" s="7" t="n">
        <f aca="false">SUM(B7:K7)</f>
        <v>0</v>
      </c>
      <c r="M7" s="7" t="n">
        <f aca="false">COUNTIFS(특허목록!$B:$B,$A7,특허목록!$N:$N,"상")</f>
        <v>0</v>
      </c>
    </row>
    <row r="8" customFormat="false" ht="15" hidden="false" customHeight="false" outlineLevel="0" collapsed="false">
      <c r="A8" s="8" t="s">
        <v>18</v>
      </c>
      <c r="B8" s="6" t="n">
        <f aca="false">COUNTIFS(특허목록!$B:$B,$A8,특허목록!$J:$J,B$3)</f>
        <v>0</v>
      </c>
      <c r="C8" s="6" t="n">
        <f aca="false">COUNTIFS(특허목록!$B:$B,$A8,특허목록!$J:$J,C$3)</f>
        <v>0</v>
      </c>
      <c r="D8" s="6" t="n">
        <f aca="false">COUNTIFS(특허목록!$B:$B,$A8,특허목록!$J:$J,D$3)</f>
        <v>0</v>
      </c>
      <c r="E8" s="6" t="n">
        <f aca="false">COUNTIFS(특허목록!$B:$B,$A8,특허목록!$J:$J,E$3)</f>
        <v>0</v>
      </c>
      <c r="F8" s="6" t="n">
        <f aca="false">COUNTIFS(특허목록!$B:$B,$A8,특허목록!$J:$J,F$3)</f>
        <v>0</v>
      </c>
      <c r="G8" s="6" t="n">
        <f aca="false">COUNTIFS(특허목록!$B:$B,$A8,특허목록!$J:$J,G$3)</f>
        <v>0</v>
      </c>
      <c r="H8" s="6" t="n">
        <f aca="false">COUNTIFS(특허목록!$B:$B,$A8,특허목록!$J:$J,H$3)</f>
        <v>0</v>
      </c>
      <c r="I8" s="6" t="n">
        <f aca="false">COUNTIFS(특허목록!$B:$B,$A8,특허목록!$J:$J,I$3)</f>
        <v>0</v>
      </c>
      <c r="J8" s="6" t="n">
        <f aca="false">COUNTIFS(특허목록!$B:$B,$A8,특허목록!$J:$J,J$3)</f>
        <v>0</v>
      </c>
      <c r="K8" s="6" t="n">
        <f aca="false">COUNTIFS(특허목록!$B:$B,$A8,특허목록!$J:$J,K$3)</f>
        <v>0</v>
      </c>
      <c r="L8" s="7" t="n">
        <f aca="false">SUM(B8:K8)</f>
        <v>0</v>
      </c>
      <c r="M8" s="7" t="n">
        <f aca="false">COUNTIFS(특허목록!$B:$B,$A8,특허목록!$N:$N,"상")</f>
        <v>0</v>
      </c>
    </row>
    <row r="9" customFormat="false" ht="15" hidden="false" customHeight="false" outlineLevel="0" collapsed="false">
      <c r="A9" s="8" t="s">
        <v>19</v>
      </c>
      <c r="B9" s="6" t="n">
        <f aca="false">COUNTIFS(특허목록!$B:$B,$A9,특허목록!$J:$J,B$3)</f>
        <v>0</v>
      </c>
      <c r="C9" s="6" t="n">
        <f aca="false">COUNTIFS(특허목록!$B:$B,$A9,특허목록!$J:$J,C$3)</f>
        <v>0</v>
      </c>
      <c r="D9" s="6" t="n">
        <f aca="false">COUNTIFS(특허목록!$B:$B,$A9,특허목록!$J:$J,D$3)</f>
        <v>0</v>
      </c>
      <c r="E9" s="6" t="n">
        <f aca="false">COUNTIFS(특허목록!$B:$B,$A9,특허목록!$J:$J,E$3)</f>
        <v>0</v>
      </c>
      <c r="F9" s="6" t="n">
        <f aca="false">COUNTIFS(특허목록!$B:$B,$A9,특허목록!$J:$J,F$3)</f>
        <v>0</v>
      </c>
      <c r="G9" s="6" t="n">
        <f aca="false">COUNTIFS(특허목록!$B:$B,$A9,특허목록!$J:$J,G$3)</f>
        <v>0</v>
      </c>
      <c r="H9" s="6" t="n">
        <f aca="false">COUNTIFS(특허목록!$B:$B,$A9,특허목록!$J:$J,H$3)</f>
        <v>0</v>
      </c>
      <c r="I9" s="6" t="n">
        <f aca="false">COUNTIFS(특허목록!$B:$B,$A9,특허목록!$J:$J,I$3)</f>
        <v>0</v>
      </c>
      <c r="J9" s="6" t="n">
        <f aca="false">COUNTIFS(특허목록!$B:$B,$A9,특허목록!$J:$J,J$3)</f>
        <v>0</v>
      </c>
      <c r="K9" s="6" t="n">
        <f aca="false">COUNTIFS(특허목록!$B:$B,$A9,특허목록!$J:$J,K$3)</f>
        <v>0</v>
      </c>
      <c r="L9" s="7" t="n">
        <f aca="false">SUM(B9:K9)</f>
        <v>0</v>
      </c>
      <c r="M9" s="7" t="n">
        <f aca="false">COUNTIFS(특허목록!$B:$B,$A9,특허목록!$N:$N,"상")</f>
        <v>0</v>
      </c>
    </row>
    <row r="10" customFormat="false" ht="15" hidden="false" customHeight="false" outlineLevel="0" collapsed="false">
      <c r="A10" s="8" t="s">
        <v>20</v>
      </c>
      <c r="B10" s="6" t="n">
        <f aca="false">COUNTIFS(특허목록!$B:$B,$A10,특허목록!$J:$J,B$3)</f>
        <v>0</v>
      </c>
      <c r="C10" s="6" t="n">
        <f aca="false">COUNTIFS(특허목록!$B:$B,$A10,특허목록!$J:$J,C$3)</f>
        <v>0</v>
      </c>
      <c r="D10" s="6" t="n">
        <f aca="false">COUNTIFS(특허목록!$B:$B,$A10,특허목록!$J:$J,D$3)</f>
        <v>0</v>
      </c>
      <c r="E10" s="6" t="n">
        <f aca="false">COUNTIFS(특허목록!$B:$B,$A10,특허목록!$J:$J,E$3)</f>
        <v>0</v>
      </c>
      <c r="F10" s="6" t="n">
        <f aca="false">COUNTIFS(특허목록!$B:$B,$A10,특허목록!$J:$J,F$3)</f>
        <v>0</v>
      </c>
      <c r="G10" s="6" t="n">
        <f aca="false">COUNTIFS(특허목록!$B:$B,$A10,특허목록!$J:$J,G$3)</f>
        <v>0</v>
      </c>
      <c r="H10" s="6" t="n">
        <f aca="false">COUNTIFS(특허목록!$B:$B,$A10,특허목록!$J:$J,H$3)</f>
        <v>0</v>
      </c>
      <c r="I10" s="6" t="n">
        <f aca="false">COUNTIFS(특허목록!$B:$B,$A10,특허목록!$J:$J,I$3)</f>
        <v>0</v>
      </c>
      <c r="J10" s="6" t="n">
        <f aca="false">COUNTIFS(특허목록!$B:$B,$A10,특허목록!$J:$J,J$3)</f>
        <v>0</v>
      </c>
      <c r="K10" s="6" t="n">
        <f aca="false">COUNTIFS(특허목록!$B:$B,$A10,특허목록!$J:$J,K$3)</f>
        <v>0</v>
      </c>
      <c r="L10" s="7" t="n">
        <f aca="false">SUM(B10:K10)</f>
        <v>0</v>
      </c>
      <c r="M10" s="7" t="n">
        <f aca="false">COUNTIFS(특허목록!$B:$B,$A10,특허목록!$N:$N,"상")</f>
        <v>0</v>
      </c>
    </row>
    <row r="11" customFormat="false" ht="15" hidden="false" customHeight="false" outlineLevel="0" collapsed="false">
      <c r="A11" s="8" t="s">
        <v>11</v>
      </c>
      <c r="B11" s="6" t="n">
        <f aca="false">COUNTIFS(특허목록!$B:$B,$A11,특허목록!$J:$J,B$3)</f>
        <v>0</v>
      </c>
      <c r="C11" s="6" t="n">
        <f aca="false">COUNTIFS(특허목록!$B:$B,$A11,특허목록!$J:$J,C$3)</f>
        <v>0</v>
      </c>
      <c r="D11" s="6" t="n">
        <f aca="false">COUNTIFS(특허목록!$B:$B,$A11,특허목록!$J:$J,D$3)</f>
        <v>0</v>
      </c>
      <c r="E11" s="6" t="n">
        <f aca="false">COUNTIFS(특허목록!$B:$B,$A11,특허목록!$J:$J,E$3)</f>
        <v>0</v>
      </c>
      <c r="F11" s="6" t="n">
        <f aca="false">COUNTIFS(특허목록!$B:$B,$A11,특허목록!$J:$J,F$3)</f>
        <v>0</v>
      </c>
      <c r="G11" s="6" t="n">
        <f aca="false">COUNTIFS(특허목록!$B:$B,$A11,특허목록!$J:$J,G$3)</f>
        <v>0</v>
      </c>
      <c r="H11" s="6" t="n">
        <f aca="false">COUNTIFS(특허목록!$B:$B,$A11,특허목록!$J:$J,H$3)</f>
        <v>0</v>
      </c>
      <c r="I11" s="6" t="n">
        <f aca="false">COUNTIFS(특허목록!$B:$B,$A11,특허목록!$J:$J,I$3)</f>
        <v>0</v>
      </c>
      <c r="J11" s="6" t="n">
        <f aca="false">COUNTIFS(특허목록!$B:$B,$A11,특허목록!$J:$J,J$3)</f>
        <v>0</v>
      </c>
      <c r="K11" s="6" t="n">
        <f aca="false">COUNTIFS(특허목록!$B:$B,$A11,특허목록!$J:$J,K$3)</f>
        <v>0</v>
      </c>
      <c r="L11" s="7" t="n">
        <f aca="false">SUM(B11:K11)</f>
        <v>0</v>
      </c>
      <c r="M11" s="7" t="n">
        <f aca="false">COUNTIFS(특허목록!$B:$B,$A11,특허목록!$N:$N,"상")</f>
        <v>0</v>
      </c>
    </row>
    <row r="12" customFormat="false" ht="15" hidden="false" customHeight="false" outlineLevel="0" collapsed="false">
      <c r="A12" s="9" t="s">
        <v>12</v>
      </c>
      <c r="B12" s="10" t="n">
        <f aca="false">SUM(B4:B11)</f>
        <v>0</v>
      </c>
      <c r="C12" s="10" t="n">
        <f aca="false">SUM(C4:C11)</f>
        <v>1</v>
      </c>
      <c r="D12" s="10" t="n">
        <f aca="false">SUM(D4:D11)</f>
        <v>0</v>
      </c>
      <c r="E12" s="10" t="n">
        <f aca="false">SUM(E4:E11)</f>
        <v>0</v>
      </c>
      <c r="F12" s="10" t="n">
        <f aca="false">SUM(F4:F11)</f>
        <v>0</v>
      </c>
      <c r="G12" s="10" t="n">
        <f aca="false">SUM(G4:G11)</f>
        <v>0</v>
      </c>
      <c r="H12" s="10" t="n">
        <f aca="false">SUM(H4:H11)</f>
        <v>0</v>
      </c>
      <c r="I12" s="10" t="n">
        <f aca="false">SUM(I4:I11)</f>
        <v>0</v>
      </c>
      <c r="J12" s="10" t="n">
        <f aca="false">SUM(J4:J11)</f>
        <v>0</v>
      </c>
      <c r="K12" s="10" t="n">
        <f aca="false">SUM(K4:K11)</f>
        <v>0</v>
      </c>
      <c r="L12" s="10" t="n">
        <f aca="false">SUM(L4:L11)</f>
        <v>1</v>
      </c>
      <c r="M12" s="10" t="n">
        <f aca="false">SUM(M4:M11)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34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4" min="14" style="0" width="8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1" t="s">
        <v>21</v>
      </c>
      <c r="B1" s="11" t="s">
        <v>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2" t="s">
        <v>33</v>
      </c>
      <c r="O1" s="12" t="s">
        <v>34</v>
      </c>
    </row>
    <row r="2" customFormat="false" ht="26.85" hidden="false" customHeight="false" outlineLevel="0" collapsed="false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4" t="s">
        <v>40</v>
      </c>
      <c r="G2" s="13" t="s">
        <v>41</v>
      </c>
      <c r="H2" s="13" t="s">
        <v>42</v>
      </c>
      <c r="I2" s="13" t="s">
        <v>43</v>
      </c>
      <c r="J2" s="14" t="s">
        <v>44</v>
      </c>
      <c r="K2" s="14" t="s">
        <v>45</v>
      </c>
      <c r="L2" s="13" t="s">
        <v>46</v>
      </c>
      <c r="M2" s="13" t="s">
        <v>47</v>
      </c>
      <c r="N2" s="14" t="s">
        <v>48</v>
      </c>
      <c r="O2" s="13"/>
    </row>
    <row r="3" customFormat="false" ht="1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</row>
    <row r="4" customFormat="false" ht="1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6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16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O6" s="16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16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  <c r="O8" s="16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  <c r="O9" s="16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6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16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6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16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6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6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6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16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16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16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/>
      <c r="O22" s="16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6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/>
      <c r="O24" s="16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16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16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16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6"/>
      <c r="O28" s="16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16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  <c r="O30" s="16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/>
      <c r="O31" s="16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/>
      <c r="O32" s="16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6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/>
      <c r="O34" s="16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/>
      <c r="O35" s="16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/>
      <c r="O36" s="16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6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/>
      <c r="O38" s="16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6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6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  <c r="O41" s="16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/>
      <c r="O42" s="16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/>
      <c r="O43" s="16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/>
      <c r="O44" s="16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/>
      <c r="O45" s="16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16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16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/>
      <c r="O48" s="16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  <c r="O49" s="16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16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16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/>
      <c r="O52" s="16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/>
      <c r="O53" s="16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/>
      <c r="O54" s="16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  <c r="O55" s="16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/>
      <c r="O56" s="16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/>
      <c r="O57" s="16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6"/>
      <c r="O58" s="16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/>
      <c r="O59" s="16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6"/>
      <c r="O60" s="16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/>
      <c r="O61" s="16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6"/>
      <c r="O62" s="16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/>
      <c r="O63" s="16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/>
      <c r="O64" s="16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6"/>
      <c r="O65" s="16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6"/>
      <c r="O66" s="16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/>
      <c r="O67" s="16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/>
      <c r="O68" s="16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6"/>
      <c r="O69" s="16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/>
      <c r="O70" s="16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/>
      <c r="O71" s="16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6"/>
      <c r="O72" s="16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/>
      <c r="O73" s="16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6"/>
      <c r="O74" s="16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6"/>
      <c r="O75" s="16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6"/>
      <c r="O76" s="16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/>
      <c r="O77" s="16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6"/>
      <c r="O78" s="16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6"/>
      <c r="O79" s="16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6"/>
      <c r="O80" s="16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6"/>
      <c r="O81" s="16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6"/>
      <c r="O82" s="16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/>
      <c r="O83" s="16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6"/>
      <c r="O84" s="16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6"/>
      <c r="O85" s="16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/>
      <c r="O86" s="16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6"/>
      <c r="O87" s="16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6"/>
      <c r="O88" s="16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6"/>
      <c r="O89" s="16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/>
      <c r="O90" s="16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6"/>
      <c r="O91" s="16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/>
      <c r="O92" s="16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/>
      <c r="O93" s="16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6"/>
      <c r="O94" s="16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6"/>
      <c r="O95" s="16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/>
      <c r="O96" s="16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6"/>
      <c r="O97" s="16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6"/>
      <c r="O98" s="16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6"/>
      <c r="O99" s="16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6"/>
      <c r="O100" s="16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6"/>
      <c r="O101" s="16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/>
      <c r="O102" s="16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/>
      <c r="O103" s="16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/>
      <c r="O104" s="16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6"/>
      <c r="O105" s="16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/>
      <c r="O106" s="16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/>
      <c r="O107" s="16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6"/>
      <c r="O108" s="16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6"/>
      <c r="O109" s="16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/>
      <c r="O110" s="16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6"/>
      <c r="O111" s="16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6"/>
      <c r="O112" s="16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/>
      <c r="O113" s="16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6"/>
      <c r="O114" s="16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/>
      <c r="O115" s="16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/>
      <c r="O116" s="16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6"/>
      <c r="O117" s="16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6"/>
      <c r="O118" s="16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6"/>
      <c r="O119" s="16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6"/>
      <c r="O120" s="16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6"/>
      <c r="O121" s="16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6"/>
      <c r="O122" s="16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6"/>
      <c r="O123" s="16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6"/>
      <c r="O124" s="16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6"/>
      <c r="O125" s="16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/>
      <c r="O126" s="16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6"/>
      <c r="O127" s="16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6"/>
      <c r="O128" s="16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/>
      <c r="O129" s="16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6"/>
      <c r="O130" s="16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6"/>
      <c r="O131" s="16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/>
      <c r="O132" s="16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6"/>
      <c r="O133" s="16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6"/>
      <c r="O134" s="16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/>
      <c r="O135" s="16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6"/>
      <c r="O136" s="16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6"/>
      <c r="O137" s="16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6"/>
      <c r="O138" s="16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6"/>
      <c r="O139" s="16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6"/>
      <c r="O140" s="16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6"/>
      <c r="O141" s="16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6"/>
      <c r="O142" s="16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6"/>
      <c r="O143" s="16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6"/>
      <c r="O144" s="16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6"/>
      <c r="O145" s="16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6"/>
      <c r="O146" s="16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6"/>
      <c r="O147" s="16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6"/>
      <c r="O148" s="16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/>
      <c r="O149" s="16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6"/>
      <c r="O150" s="16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/>
      <c r="O151" s="16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6"/>
      <c r="O152" s="16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6"/>
      <c r="O153" s="16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6"/>
      <c r="O154" s="16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6"/>
      <c r="O155" s="16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6"/>
      <c r="O156" s="16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/>
      <c r="O157" s="16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6"/>
      <c r="O158" s="16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6"/>
      <c r="O159" s="16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6"/>
      <c r="O160" s="16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6"/>
      <c r="O161" s="16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6"/>
      <c r="O162" s="16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6"/>
      <c r="O163" s="16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6"/>
      <c r="O164" s="16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6"/>
      <c r="O165" s="16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6"/>
      <c r="O166" s="16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6"/>
      <c r="O167" s="16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6"/>
      <c r="O168" s="16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/>
      <c r="O169" s="16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6"/>
      <c r="O170" s="16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6"/>
      <c r="O171" s="16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6"/>
      <c r="O172" s="16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6"/>
      <c r="O173" s="16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6"/>
      <c r="O174" s="16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6"/>
      <c r="O175" s="16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6"/>
      <c r="O176" s="16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6"/>
      <c r="O177" s="16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6"/>
      <c r="O178" s="16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6"/>
      <c r="O179" s="16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6"/>
      <c r="O180" s="16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6"/>
      <c r="O181" s="16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6"/>
      <c r="O182" s="16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/>
      <c r="O183" s="16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6"/>
      <c r="O184" s="16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6"/>
      <c r="O185" s="16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6"/>
      <c r="O186" s="16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6"/>
      <c r="O187" s="16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6"/>
      <c r="O188" s="16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6"/>
      <c r="O189" s="16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6"/>
      <c r="O190" s="16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6"/>
      <c r="O191" s="16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6"/>
      <c r="O192" s="16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6"/>
      <c r="O193" s="16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6"/>
      <c r="O194" s="16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6"/>
      <c r="O195" s="16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6"/>
      <c r="O196" s="16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6"/>
      <c r="O197" s="16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6"/>
      <c r="O198" s="16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6"/>
      <c r="O199" s="16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6"/>
      <c r="O200" s="16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6"/>
      <c r="O201" s="16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6"/>
      <c r="O202" s="16"/>
    </row>
  </sheetData>
  <autoFilter ref="A1:O202"/>
  <dataValidations count="6">
    <dataValidation allowBlank="true" errorStyle="stop" operator="between" showDropDown="false" showErrorMessage="false" showInputMessage="false" sqref="B2:B202" type="list">
      <formula1>목록!$A$1:$A$8</formula1>
      <formula2>0</formula2>
    </dataValidation>
    <dataValidation allowBlank="true" errorStyle="stop" operator="between" showDropDown="false" showErrorMessage="false" showInputMessage="false" sqref="J2:J202" type="list">
      <formula1>목록!$B$1:$B$10</formula1>
      <formula2>0</formula2>
    </dataValidation>
    <dataValidation allowBlank="true" errorStyle="stop" operator="between" showDropDown="false" showErrorMessage="false" showInputMessage="false" sqref="N2:N202" type="list">
      <formula1>목록!$C$1:$C$3</formula1>
      <formula2>0</formula2>
    </dataValidation>
    <dataValidation allowBlank="true" errorStyle="stop" operator="between" showDropDown="false" showErrorMessage="false" showInputMessage="false" sqref="F2:F202" type="list">
      <formula1>목록!$D$1:$D$2</formula1>
      <formula2>0</formula2>
    </dataValidation>
    <dataValidation allowBlank="true" errorStyle="stop" operator="between" showDropDown="false" showErrorMessage="false" showInputMessage="false" sqref="K2:K202" type="list">
      <formula1>목록!$E$1:$E$5</formula1>
      <formula2>0</formula2>
    </dataValidation>
    <dataValidation allowBlank="true" errorStyle="stop" operator="between" showDropDown="false" showErrorMessage="false" showInputMessage="false" sqref="D2:D202" type="list">
      <formula1>목록!$F$1:$F$8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49</v>
      </c>
      <c r="B1" s="17" t="s">
        <v>2</v>
      </c>
      <c r="C1" s="17" t="s">
        <v>48</v>
      </c>
      <c r="D1" s="17" t="s">
        <v>40</v>
      </c>
      <c r="E1" s="17" t="s">
        <v>50</v>
      </c>
      <c r="F1" s="0" t="s">
        <v>38</v>
      </c>
    </row>
    <row r="2" customFormat="false" ht="15" hidden="false" customHeight="false" outlineLevel="0" collapsed="false">
      <c r="A2" s="17" t="s">
        <v>15</v>
      </c>
      <c r="B2" s="17" t="s">
        <v>51</v>
      </c>
      <c r="C2" s="17" t="s">
        <v>52</v>
      </c>
      <c r="D2" s="17" t="s">
        <v>53</v>
      </c>
      <c r="E2" s="17" t="s">
        <v>54</v>
      </c>
      <c r="F2" s="0" t="s">
        <v>55</v>
      </c>
    </row>
    <row r="3" customFormat="false" ht="15" hidden="false" customHeight="false" outlineLevel="0" collapsed="false">
      <c r="A3" s="17" t="s">
        <v>16</v>
      </c>
      <c r="B3" s="17" t="s">
        <v>4</v>
      </c>
      <c r="C3" s="17" t="s">
        <v>56</v>
      </c>
      <c r="E3" s="17" t="s">
        <v>57</v>
      </c>
      <c r="F3" s="0" t="s">
        <v>58</v>
      </c>
    </row>
    <row r="4" customFormat="false" ht="15" hidden="false" customHeight="false" outlineLevel="0" collapsed="false">
      <c r="A4" s="17" t="s">
        <v>17</v>
      </c>
      <c r="B4" s="17" t="s">
        <v>5</v>
      </c>
      <c r="E4" s="17" t="s">
        <v>59</v>
      </c>
      <c r="F4" s="0" t="s">
        <v>60</v>
      </c>
    </row>
    <row r="5" customFormat="false" ht="15" hidden="false" customHeight="false" outlineLevel="0" collapsed="false">
      <c r="A5" s="17" t="s">
        <v>18</v>
      </c>
      <c r="B5" s="17" t="s">
        <v>6</v>
      </c>
      <c r="E5" s="17" t="s">
        <v>11</v>
      </c>
      <c r="F5" s="0" t="s">
        <v>61</v>
      </c>
    </row>
    <row r="6" customFormat="false" ht="15" hidden="false" customHeight="false" outlineLevel="0" collapsed="false">
      <c r="A6" s="17" t="s">
        <v>19</v>
      </c>
      <c r="B6" s="17" t="s">
        <v>7</v>
      </c>
      <c r="F6" s="0" t="s">
        <v>62</v>
      </c>
    </row>
    <row r="7" customFormat="false" ht="15" hidden="false" customHeight="false" outlineLevel="0" collapsed="false">
      <c r="A7" s="17" t="s">
        <v>20</v>
      </c>
      <c r="B7" s="17" t="s">
        <v>8</v>
      </c>
      <c r="F7" s="0" t="s">
        <v>63</v>
      </c>
    </row>
    <row r="8" customFormat="false" ht="15" hidden="false" customHeight="false" outlineLevel="0" collapsed="false">
      <c r="A8" s="17" t="s">
        <v>11</v>
      </c>
      <c r="B8" s="17" t="s">
        <v>64</v>
      </c>
      <c r="F8" s="17" t="s">
        <v>11</v>
      </c>
    </row>
    <row r="9" customFormat="false" ht="15" hidden="false" customHeight="false" outlineLevel="0" collapsed="false">
      <c r="B9" s="17" t="s">
        <v>10</v>
      </c>
    </row>
    <row r="10" customFormat="false" ht="15" hidden="false" customHeight="false" outlineLevel="0" collapsed="false">
      <c r="B10" s="1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4" hidden="false" customHeight="false" outlineLevel="0" collapsed="false">
      <c r="A1" s="1" t="s">
        <v>65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9" t="s">
        <v>66</v>
      </c>
    </row>
    <row r="4" customFormat="false" ht="14.15" hidden="false" customHeight="false" outlineLevel="0" collapsed="false">
      <c r="A4" s="18" t="s">
        <v>67</v>
      </c>
    </row>
    <row r="5" customFormat="false" ht="14.15" hidden="false" customHeight="false" outlineLevel="0" collapsed="false">
      <c r="A5" s="18" t="s">
        <v>68</v>
      </c>
    </row>
    <row r="6" customFormat="false" ht="15" hidden="false" customHeight="false" outlineLevel="0" collapsed="false">
      <c r="A6" s="18"/>
    </row>
    <row r="7" customFormat="false" ht="15" hidden="false" customHeight="false" outlineLevel="0" collapsed="false">
      <c r="A7" s="19" t="s">
        <v>69</v>
      </c>
    </row>
    <row r="8" customFormat="false" ht="14.15" hidden="false" customHeight="false" outlineLevel="0" collapsed="false">
      <c r="A8" s="18" t="s">
        <v>70</v>
      </c>
    </row>
    <row r="9" customFormat="false" ht="14.15" hidden="false" customHeight="false" outlineLevel="0" collapsed="false">
      <c r="A9" s="18" t="s">
        <v>71</v>
      </c>
    </row>
    <row r="10" customFormat="false" ht="15" hidden="false" customHeight="false" outlineLevel="0" collapsed="false">
      <c r="A10" s="18"/>
    </row>
    <row r="11" customFormat="false" ht="14.15" hidden="false" customHeight="false" outlineLevel="0" collapsed="false">
      <c r="A11" s="20" t="s">
        <v>72</v>
      </c>
    </row>
    <row r="12" customFormat="false" ht="15" hidden="false" customHeight="false" outlineLevel="0" collapsed="false">
      <c r="A12" s="18"/>
    </row>
    <row r="13" customFormat="false" ht="14.15" hidden="false" customHeight="false" outlineLevel="0" collapsed="false">
      <c r="A13" s="19" t="s">
        <v>73</v>
      </c>
    </row>
    <row r="14" customFormat="false" ht="14.15" hidden="false" customHeight="false" outlineLevel="0" collapsed="false">
      <c r="A14" s="19" t="s">
        <v>74</v>
      </c>
    </row>
    <row r="15" customFormat="false" ht="15" hidden="false" customHeight="false" outlineLevel="0" collapsed="false">
      <c r="A15" s="18"/>
    </row>
    <row r="16" customFormat="false" ht="15" hidden="false" customHeight="false" outlineLevel="0" collapsed="false">
      <c r="A16" s="19" t="s">
        <v>75</v>
      </c>
    </row>
    <row r="17" customFormat="false" ht="14.15" hidden="false" customHeight="false" outlineLevel="0" collapsed="false">
      <c r="A17" s="18" t="s">
        <v>76</v>
      </c>
    </row>
    <row r="18" customFormat="false" ht="14.15" hidden="false" customHeight="false" outlineLevel="0" collapsed="false">
      <c r="A18" s="18" t="s">
        <v>77</v>
      </c>
    </row>
    <row r="19" customFormat="false" ht="14.15" hidden="false" customHeight="false" outlineLevel="0" collapsed="false">
      <c r="A19" s="21" t="s">
        <v>78</v>
      </c>
    </row>
    <row r="20" customFormat="false" ht="14.15" hidden="false" customHeight="false" outlineLevel="0" collapsed="false">
      <c r="A20" s="1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2026-10-26T12:17:51Z</dcterms:created>
  <dc:creator>openpyxl</dc:creator>
  <dc:description/>
  <dc:language>en-US</dc:language>
  <cp:lastModifiedBy/>
  <dcterms:modified xsi:type="dcterms:W3CDTF">2026-10-26T12:17:51Z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