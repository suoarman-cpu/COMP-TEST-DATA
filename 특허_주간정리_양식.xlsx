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업체별 요약" sheetId="1" state="visible" r:id="rId3"/>
    <sheet name="특허목록" sheetId="2" state="visible" r:id="rId4"/>
    <sheet name="목록" sheetId="3" state="hidden" r:id="rId5"/>
    <sheet name="사용법" sheetId="4" state="visible" r:id="rId6"/>
  </sheets>
  <definedNames>
    <definedName function="false" hidden="true" localSheetId="1" name="_xlnm._FilterDatabase" vbProcedure="false">특허목록!$A$1:$O$202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" authorId="0">
      <text>
        <r>
          <rPr>
            <sz val="10"/>
            <rFont val="WenQuanYi Zen Hei"/>
            <family val="2"/>
          </rPr>
          <t xml:space="preserve">공개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출원 공개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등록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특허 등록</t>
        </r>
      </text>
    </comment>
    <comment ref="J1" authorId="0">
      <text>
        <r>
          <rPr>
            <sz val="10"/>
            <rFont val="WenQuanYi Zen Hei"/>
            <family val="2"/>
          </rPr>
          <t xml:space="preserve">임펠러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디퓨저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볼류트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베어링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모터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로터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냉각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제어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서지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시스템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기타</t>
        </r>
      </text>
    </comment>
    <comment ref="N1" authorId="0">
      <text>
        <r>
          <rPr>
            <sz val="10"/>
            <rFont val="WenQuanYi Zen Hei"/>
            <family val="2"/>
          </rPr>
          <t xml:space="preserve">검토자 입력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상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중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하</t>
        </r>
      </text>
    </comment>
  </commentList>
</comments>
</file>

<file path=xl/sharedStrings.xml><?xml version="1.0" encoding="utf-8"?>
<sst xmlns="http://schemas.openxmlformats.org/spreadsheetml/2006/main" count="98" uniqueCount="78">
  <si>
    <r>
      <rPr>
        <b val="true"/>
        <sz val="12"/>
        <rFont val="WenQuanYi Zen Hei"/>
        <family val="2"/>
      </rPr>
      <t xml:space="preserve">업체 </t>
    </r>
    <r>
      <rPr>
        <b val="true"/>
        <sz val="12"/>
        <rFont val="Arial"/>
        <family val="0"/>
        <charset val="1"/>
      </rPr>
      <t xml:space="preserve">× </t>
    </r>
    <r>
      <rPr>
        <b val="true"/>
        <sz val="12"/>
        <rFont val="WenQuanYi Zen Hei"/>
        <family val="2"/>
      </rPr>
      <t xml:space="preserve">설계 분야 건수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특허목록 시트에서 자동 집계</t>
    </r>
    <r>
      <rPr>
        <b val="true"/>
        <sz val="12"/>
        <rFont val="Arial"/>
        <family val="0"/>
        <charset val="1"/>
      </rPr>
      <t xml:space="preserve">, </t>
    </r>
    <r>
      <rPr>
        <b val="true"/>
        <sz val="12"/>
        <rFont val="WenQuanYi Zen Hei"/>
        <family val="2"/>
      </rPr>
      <t xml:space="preserve">예시 행 포함</t>
    </r>
    <r>
      <rPr>
        <b val="true"/>
        <sz val="12"/>
        <rFont val="Arial"/>
        <family val="0"/>
        <charset val="1"/>
      </rPr>
      <t xml:space="preserve">)</t>
    </r>
  </si>
  <si>
    <t xml:space="preserve">업체</t>
  </si>
  <si>
    <t xml:space="preserve">임펠러</t>
  </si>
  <si>
    <r>
      <rPr>
        <b val="true"/>
        <sz val="11"/>
        <color rgb="FFFFFFFF"/>
        <rFont val="WenQuanYi Zen Hei"/>
        <family val="2"/>
      </rPr>
      <t xml:space="preserve">디퓨저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WenQuanYi Zen Hei"/>
        <family val="2"/>
      </rPr>
      <t xml:space="preserve">볼류트</t>
    </r>
  </si>
  <si>
    <t xml:space="preserve">베어링</t>
  </si>
  <si>
    <r>
      <rPr>
        <b val="true"/>
        <sz val="11"/>
        <color rgb="FFFFFFFF"/>
        <rFont val="WenQuanYi Zen Hei"/>
        <family val="2"/>
      </rPr>
      <t xml:space="preserve">모터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WenQuanYi Zen Hei"/>
        <family val="2"/>
      </rPr>
      <t xml:space="preserve">로터</t>
    </r>
  </si>
  <si>
    <t xml:space="preserve">냉각</t>
  </si>
  <si>
    <r>
      <rPr>
        <b val="true"/>
        <sz val="11"/>
        <color rgb="FFFFFFFF"/>
        <rFont val="WenQuanYi Zen Hei"/>
        <family val="2"/>
      </rPr>
      <t xml:space="preserve">제어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WenQuanYi Zen Hei"/>
        <family val="2"/>
      </rPr>
      <t xml:space="preserve">서지</t>
    </r>
  </si>
  <si>
    <t xml:space="preserve">시스템</t>
  </si>
  <si>
    <t xml:space="preserve">기타</t>
  </si>
  <si>
    <t xml:space="preserve">합계</t>
  </si>
  <si>
    <r>
      <rPr>
        <b val="true"/>
        <sz val="11"/>
        <color rgb="FFFFFFFF"/>
        <rFont val="WenQuanYi Zen Hei"/>
        <family val="2"/>
      </rPr>
      <t xml:space="preserve">중요도 </t>
    </r>
    <r>
      <rPr>
        <b val="true"/>
        <sz val="11"/>
        <color rgb="FFFFFFFF"/>
        <rFont val="Arial"/>
        <family val="0"/>
        <charset val="1"/>
      </rPr>
      <t xml:space="preserve">'</t>
    </r>
    <r>
      <rPr>
        <b val="true"/>
        <sz val="11"/>
        <color rgb="FFFFFFFF"/>
        <rFont val="WenQuanYi Zen Hei"/>
        <family val="2"/>
      </rPr>
      <t xml:space="preserve">상</t>
    </r>
    <r>
      <rPr>
        <b val="true"/>
        <sz val="11"/>
        <color rgb="FFFFFFFF"/>
        <rFont val="Arial"/>
        <family val="0"/>
        <charset val="1"/>
      </rPr>
      <t xml:space="preserve">'</t>
    </r>
  </si>
  <si>
    <r>
      <rPr>
        <b val="true"/>
        <sz val="11"/>
        <rFont val="Arial"/>
        <family val="0"/>
        <charset val="1"/>
      </rPr>
      <t xml:space="preserve">LG</t>
    </r>
    <r>
      <rPr>
        <b val="true"/>
        <sz val="11"/>
        <rFont val="WenQuanYi Zen Hei"/>
        <family val="2"/>
      </rPr>
      <t xml:space="preserve">전자</t>
    </r>
  </si>
  <si>
    <t xml:space="preserve">댄포스</t>
  </si>
  <si>
    <t xml:space="preserve">코플랜드</t>
  </si>
  <si>
    <t xml:space="preserve">덴소</t>
  </si>
  <si>
    <t xml:space="preserve">다이킨</t>
  </si>
  <si>
    <t xml:space="preserve">티앤이코리아</t>
  </si>
  <si>
    <t xml:space="preserve">터보맥스</t>
  </si>
  <si>
    <t xml:space="preserve">보고일</t>
  </si>
  <si>
    <r>
      <rPr>
        <b val="true"/>
        <sz val="11"/>
        <color rgb="FFFFFFFF"/>
        <rFont val="WenQuanYi Zen Hei"/>
        <family val="2"/>
      </rPr>
      <t xml:space="preserve">출원인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원문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</si>
  <si>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국가</t>
  </si>
  <si>
    <r>
      <rPr>
        <b val="true"/>
        <sz val="11"/>
        <color rgb="FFFFFFFF"/>
        <rFont val="WenQuanYi Zen Hei"/>
        <family val="2"/>
      </rPr>
      <t xml:space="preserve">공개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등록번호</t>
    </r>
  </si>
  <si>
    <t xml:space="preserve">구분</t>
  </si>
  <si>
    <t xml:space="preserve">제목</t>
  </si>
  <si>
    <t xml:space="preserve">공개일</t>
  </si>
  <si>
    <t xml:space="preserve">출원일</t>
  </si>
  <si>
    <t xml:space="preserve">설계 분야</t>
  </si>
  <si>
    <t xml:space="preserve">용도</t>
  </si>
  <si>
    <r>
      <rPr>
        <b val="true"/>
        <sz val="11"/>
        <color rgb="FFFFFFFF"/>
        <rFont val="WenQuanYi Zen Hei"/>
        <family val="2"/>
      </rPr>
      <t xml:space="preserve">핵심 내용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설계 관점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</si>
  <si>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링크</t>
  </si>
  <si>
    <t xml:space="preserve">중요도</t>
  </si>
  <si>
    <t xml:space="preserve">검토 메모</t>
  </si>
  <si>
    <t xml:space="preserve">2026-11-02</t>
  </si>
  <si>
    <r>
      <rPr>
        <i val="true"/>
        <sz val="10"/>
        <color rgb="FF7F7F7F"/>
        <rFont val="Arial"/>
        <family val="0"/>
        <charset val="1"/>
      </rPr>
      <t xml:space="preserve">LG</t>
    </r>
    <r>
      <rPr>
        <i val="true"/>
        <sz val="10"/>
        <color rgb="FF7F7F7F"/>
        <rFont val="WenQuanYi Zen Hei"/>
        <family val="2"/>
      </rPr>
      <t xml:space="preserve">전자</t>
    </r>
  </si>
  <si>
    <t xml:space="preserve">LG Electronics Inc.</t>
  </si>
  <si>
    <t xml:space="preserve">KR</t>
  </si>
  <si>
    <r>
      <rPr>
        <i val="true"/>
        <sz val="10"/>
        <color rgb="FF7F7F7F"/>
        <rFont val="Arial"/>
        <family val="0"/>
        <charset val="1"/>
      </rPr>
      <t xml:space="preserve">(</t>
    </r>
    <r>
      <rPr>
        <i val="true"/>
        <sz val="10"/>
        <color rgb="FF7F7F7F"/>
        <rFont val="WenQuanYi Zen Hei"/>
        <family val="2"/>
      </rPr>
      <t xml:space="preserve">예시</t>
    </r>
    <r>
      <rPr>
        <i val="true"/>
        <sz val="10"/>
        <color rgb="FF7F7F7F"/>
        <rFont val="Arial"/>
        <family val="0"/>
        <charset val="1"/>
      </rPr>
      <t xml:space="preserve">) KR 10-2026-0000000</t>
    </r>
  </si>
  <si>
    <t xml:space="preserve">공개</t>
  </si>
  <si>
    <r>
      <rPr>
        <i val="true"/>
        <sz val="10"/>
        <color rgb="FF7F7F7F"/>
        <rFont val="Arial"/>
        <family val="0"/>
        <charset val="1"/>
      </rPr>
      <t xml:space="preserve">(</t>
    </r>
    <r>
      <rPr>
        <i val="true"/>
        <sz val="10"/>
        <color rgb="FF7F7F7F"/>
        <rFont val="WenQuanYi Zen Hei"/>
        <family val="2"/>
      </rPr>
      <t xml:space="preserve">예시</t>
    </r>
    <r>
      <rPr>
        <i val="true"/>
        <sz val="10"/>
        <color rgb="FF7F7F7F"/>
        <rFont val="Arial"/>
        <family val="0"/>
        <charset val="1"/>
      </rPr>
      <t xml:space="preserve">) </t>
    </r>
    <r>
      <rPr>
        <i val="true"/>
        <sz val="10"/>
        <color rgb="FF7F7F7F"/>
        <rFont val="WenQuanYi Zen Hei"/>
        <family val="2"/>
      </rPr>
      <t xml:space="preserve">원심압축기의 베인 디퓨저 구조</t>
    </r>
  </si>
  <si>
    <t xml:space="preserve">2026-10-28</t>
  </si>
  <si>
    <t xml:space="preserve">2025-04-15</t>
  </si>
  <si>
    <r>
      <rPr>
        <i val="true"/>
        <sz val="10"/>
        <color rgb="FF7F7F7F"/>
        <rFont val="WenQuanYi Zen Hei"/>
        <family val="2"/>
      </rPr>
      <t xml:space="preserve">디퓨저</t>
    </r>
    <r>
      <rPr>
        <i val="true"/>
        <sz val="10"/>
        <color rgb="FF7F7F7F"/>
        <rFont val="Arial"/>
        <family val="0"/>
        <charset val="1"/>
      </rPr>
      <t xml:space="preserve">·</t>
    </r>
    <r>
      <rPr>
        <i val="true"/>
        <sz val="10"/>
        <color rgb="FF7F7F7F"/>
        <rFont val="WenQuanYi Zen Hei"/>
        <family val="2"/>
      </rPr>
      <t xml:space="preserve">볼류트</t>
    </r>
  </si>
  <si>
    <r>
      <rPr>
        <i val="true"/>
        <sz val="10"/>
        <color rgb="FF7F7F7F"/>
        <rFont val="WenQuanYi Zen Hei"/>
        <family val="2"/>
      </rPr>
      <t xml:space="preserve">냉매</t>
    </r>
    <r>
      <rPr>
        <i val="true"/>
        <sz val="10"/>
        <color rgb="FF7F7F7F"/>
        <rFont val="Arial"/>
        <family val="0"/>
        <charset val="1"/>
      </rPr>
      <t xml:space="preserve">(</t>
    </r>
    <r>
      <rPr>
        <i val="true"/>
        <sz val="10"/>
        <color rgb="FF7F7F7F"/>
        <rFont val="WenQuanYi Zen Hei"/>
        <family val="2"/>
      </rPr>
      <t xml:space="preserve">칠러</t>
    </r>
    <r>
      <rPr>
        <i val="true"/>
        <sz val="10"/>
        <color rgb="FF7F7F7F"/>
        <rFont val="Arial"/>
        <family val="0"/>
        <charset val="1"/>
      </rPr>
      <t xml:space="preserve">)</t>
    </r>
  </si>
  <si>
    <r>
      <rPr>
        <i val="true"/>
        <sz val="10"/>
        <color rgb="FF7F7F7F"/>
        <rFont val="Arial"/>
        <family val="0"/>
        <charset val="1"/>
      </rPr>
      <t xml:space="preserve">(</t>
    </r>
    <r>
      <rPr>
        <i val="true"/>
        <sz val="10"/>
        <color rgb="FF7F7F7F"/>
        <rFont val="WenQuanYi Zen Hei"/>
        <family val="2"/>
      </rPr>
      <t xml:space="preserve">예시 행 – 실제 특허 아님</t>
    </r>
    <r>
      <rPr>
        <i val="true"/>
        <sz val="10"/>
        <color rgb="FF7F7F7F"/>
        <rFont val="Arial"/>
        <family val="0"/>
        <charset val="1"/>
      </rPr>
      <t xml:space="preserve">) </t>
    </r>
    <r>
      <rPr>
        <i val="true"/>
        <sz val="10"/>
        <color rgb="FF7F7F7F"/>
        <rFont val="WenQuanYi Zen Hei"/>
        <family val="2"/>
      </rPr>
      <t xml:space="preserve">디퓨저 베인 각도를 유량에 따라 가변해 저유량 서지 마진 확보</t>
    </r>
    <r>
      <rPr>
        <i val="true"/>
        <sz val="10"/>
        <color rgb="FF7F7F7F"/>
        <rFont val="Arial"/>
        <family val="0"/>
        <charset val="1"/>
      </rPr>
      <t xml:space="preserve">. </t>
    </r>
    <r>
      <rPr>
        <i val="true"/>
        <sz val="10"/>
        <color rgb="FF7F7F7F"/>
        <rFont val="WenQuanYi Zen Hei"/>
        <family val="2"/>
      </rPr>
      <t xml:space="preserve">기존 대비 작동 범위 확대 주장</t>
    </r>
    <r>
      <rPr>
        <i val="true"/>
        <sz val="10"/>
        <color rgb="FF7F7F7F"/>
        <rFont val="Arial"/>
        <family val="0"/>
        <charset val="1"/>
      </rPr>
      <t xml:space="preserve">.</t>
    </r>
  </si>
  <si>
    <t xml:space="preserve">https://patents.google.com/...</t>
  </si>
  <si>
    <t xml:space="preserve">상</t>
  </si>
  <si>
    <r>
      <rPr>
        <sz val="11"/>
        <color theme="1"/>
        <rFont val="Calibri"/>
        <family val="2"/>
        <charset val="1"/>
      </rPr>
      <t xml:space="preserve">LG</t>
    </r>
    <r>
      <rPr>
        <sz val="11"/>
        <color theme="1"/>
        <rFont val="WenQuanYi Zen Hei"/>
        <family val="2"/>
      </rPr>
      <t xml:space="preserve">전자</t>
    </r>
  </si>
  <si>
    <r>
      <rPr>
        <sz val="11"/>
        <color theme="1"/>
        <rFont val="WenQuanYi Zen Hei"/>
        <family val="2"/>
      </rPr>
      <t xml:space="preserve">냉매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칠러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</si>
  <si>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디퓨저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볼류트</t>
    </r>
  </si>
  <si>
    <t xml:space="preserve">중</t>
  </si>
  <si>
    <t xml:space="preserve">등록</t>
  </si>
  <si>
    <r>
      <rPr>
        <sz val="11"/>
        <color theme="1"/>
        <rFont val="WenQuanYi Zen Hei"/>
        <family val="2"/>
      </rPr>
      <t xml:space="preserve">냉매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히트펌프</t>
    </r>
    <r>
      <rPr>
        <sz val="11"/>
        <color theme="1"/>
        <rFont val="Calibri"/>
        <family val="2"/>
        <charset val="1"/>
      </rPr>
      <t xml:space="preserve">)</t>
    </r>
  </si>
  <si>
    <t xml:space="preserve">US</t>
  </si>
  <si>
    <t xml:space="preserve">하</t>
  </si>
  <si>
    <r>
      <rPr>
        <sz val="11"/>
        <color theme="1"/>
        <rFont val="WenQuanYi Zen Hei"/>
        <family val="2"/>
      </rPr>
      <t xml:space="preserve">공기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블로어</t>
    </r>
    <r>
      <rPr>
        <sz val="11"/>
        <color theme="1"/>
        <rFont val="Calibri"/>
        <family val="2"/>
        <charset val="1"/>
      </rPr>
      <t xml:space="preserve">)</t>
    </r>
  </si>
  <si>
    <t xml:space="preserve">EP</t>
  </si>
  <si>
    <r>
      <rPr>
        <sz val="11"/>
        <color theme="1"/>
        <rFont val="WenQuanYi Zen Hei"/>
        <family val="2"/>
      </rPr>
      <t xml:space="preserve">모터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로터</t>
    </r>
  </si>
  <si>
    <r>
      <rPr>
        <sz val="11"/>
        <color theme="1"/>
        <rFont val="WenQuanYi Zen Hei"/>
        <family val="2"/>
      </rPr>
      <t xml:space="preserve">차량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연료전지</t>
    </r>
  </si>
  <si>
    <t xml:space="preserve">WO</t>
  </si>
  <si>
    <t xml:space="preserve">JP</t>
  </si>
  <si>
    <r>
      <rPr>
        <sz val="11"/>
        <color theme="1"/>
        <rFont val="WenQuanYi Zen Hei"/>
        <family val="2"/>
      </rPr>
      <t xml:space="preserve">제어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서지</t>
    </r>
  </si>
  <si>
    <t xml:space="preserve">CN</t>
  </si>
  <si>
    <t xml:space="preserve">DE</t>
  </si>
  <si>
    <r>
      <rPr>
        <b val="true"/>
        <sz val="12"/>
        <rFont val="WenQuanYi Zen Hei"/>
        <family val="2"/>
      </rPr>
      <t xml:space="preserve">터보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원심</t>
    </r>
    <r>
      <rPr>
        <b val="true"/>
        <sz val="12"/>
        <rFont val="Arial"/>
        <family val="0"/>
        <charset val="1"/>
      </rPr>
      <t xml:space="preserve">) </t>
    </r>
    <r>
      <rPr>
        <b val="true"/>
        <sz val="12"/>
        <rFont val="WenQuanYi Zen Hei"/>
        <family val="2"/>
      </rPr>
      <t xml:space="preserve">압축기 특허 주간 정리 – 엑셀 양식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검토용 초안</t>
    </r>
    <r>
      <rPr>
        <b val="true"/>
        <sz val="12"/>
        <rFont val="Arial"/>
        <family val="0"/>
        <charset val="1"/>
      </rPr>
      <t xml:space="preserve">)</t>
    </r>
  </si>
  <si>
    <t xml:space="preserve">■ 시트 구성</t>
  </si>
  <si>
    <r>
      <rPr>
        <sz val="10"/>
        <rFont val="Arial"/>
        <family val="0"/>
        <charset val="1"/>
      </rPr>
      <t xml:space="preserve">  · </t>
    </r>
    <r>
      <rPr>
        <sz val="10"/>
        <rFont val="WenQuanYi Zen Hei"/>
        <family val="2"/>
      </rPr>
      <t xml:space="preserve">업체별 요약 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업체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설계 분야 건수가 자동으로 계산됩니다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직접 입력 </t>
    </r>
    <r>
      <rPr>
        <sz val="10"/>
        <rFont val="Arial"/>
        <family val="0"/>
        <charset val="1"/>
      </rPr>
      <t xml:space="preserve">X).</t>
    </r>
  </si>
  <si>
    <r>
      <rPr>
        <sz val="10"/>
        <rFont val="Arial"/>
        <family val="0"/>
        <charset val="1"/>
      </rPr>
      <t xml:space="preserve">  · </t>
    </r>
    <r>
      <rPr>
        <sz val="10"/>
        <rFont val="WenQuanYi Zen Hei"/>
        <family val="2"/>
      </rPr>
      <t xml:space="preserve">특허목록   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매주 새 특허가 아래로 계속 쌓입니다</t>
    </r>
    <r>
      <rPr>
        <sz val="10"/>
        <rFont val="Arial"/>
        <family val="0"/>
        <charset val="1"/>
      </rPr>
      <t xml:space="preserve">. 1</t>
    </r>
    <r>
      <rPr>
        <sz val="10"/>
        <rFont val="WenQuanYi Zen Hei"/>
        <family val="2"/>
      </rPr>
      <t xml:space="preserve">주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파일이 아니라 누적 방식</t>
    </r>
    <r>
      <rPr>
        <sz val="10"/>
        <rFont val="Arial"/>
        <family val="0"/>
        <charset val="1"/>
      </rPr>
      <t xml:space="preserve">.</t>
    </r>
  </si>
  <si>
    <t xml:space="preserve">■ 누가 무엇을 채우나</t>
  </si>
  <si>
    <r>
      <rPr>
        <sz val="10"/>
        <rFont val="Arial"/>
        <family val="0"/>
        <charset val="1"/>
      </rPr>
      <t xml:space="preserve">  · A~M</t>
    </r>
    <r>
      <rPr>
        <sz val="10"/>
        <rFont val="WenQuanYi Zen Hei"/>
        <family val="2"/>
      </rPr>
      <t xml:space="preserve">열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파란 머리글</t>
    </r>
    <r>
      <rPr>
        <sz val="10"/>
        <rFont val="Arial"/>
        <family val="0"/>
        <charset val="1"/>
      </rPr>
      <t xml:space="preserve">) : Claude</t>
    </r>
    <r>
      <rPr>
        <sz val="10"/>
        <rFont val="WenQuanYi Zen Hei"/>
        <family val="2"/>
      </rPr>
      <t xml:space="preserve">가 매주 자동 입력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</si>
  <si>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  · N~O</t>
    </r>
    <r>
      <rPr>
        <sz val="10"/>
        <rFont val="WenQuanYi Zen Hei"/>
        <family val="2"/>
      </rPr>
      <t xml:space="preserve">열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노란 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금색 머리글</t>
    </r>
    <r>
      <rPr>
        <sz val="10"/>
        <rFont val="Arial"/>
        <family val="0"/>
        <charset val="1"/>
      </rPr>
      <t xml:space="preserve">) : </t>
    </r>
    <r>
      <rPr>
        <sz val="10"/>
        <rFont val="WenQuanYi Zen Hei"/>
        <family val="2"/>
      </rPr>
      <t xml:space="preserve">검토자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본인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가 중요도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상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중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하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와 메모를 입력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</si>
  <si>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rFont val="Arial"/>
        <family val="0"/>
        <charset val="1"/>
      </rPr>
      <t xml:space="preserve">■ 2</t>
    </r>
    <r>
      <rPr>
        <b val="true"/>
        <sz val="10"/>
        <rFont val="WenQuanYi Zen Hei"/>
        <family val="2"/>
      </rPr>
      <t xml:space="preserve">행은 형식을 보여주는 예시입니다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실제 특허 아님</t>
    </r>
    <r>
      <rPr>
        <b val="true"/>
        <sz val="10"/>
        <rFont val="Arial"/>
        <family val="0"/>
        <charset val="1"/>
      </rPr>
      <t xml:space="preserve">). </t>
    </r>
    <r>
      <rPr>
        <b val="true"/>
        <sz val="10"/>
        <rFont val="WenQuanYi Zen Hei"/>
        <family val="2"/>
      </rPr>
      <t xml:space="preserve">실제 운영 시 삭제됩니다</t>
    </r>
    <r>
      <rPr>
        <b val="true"/>
        <sz val="10"/>
        <rFont val="Arial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</si>
  <si>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■ 드롭다운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선택 목록</t>
    </r>
    <r>
      <rPr>
        <b val="true"/>
        <sz val="10"/>
        <rFont val="Arial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칸 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WenQuanYi Zen Hei"/>
        <family val="2"/>
      </rPr>
      <t xml:space="preserve">업체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국가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구분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설계 분야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용도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중요도</t>
    </r>
  </si>
  <si>
    <r>
      <rPr>
        <b val="true"/>
        <sz val="10"/>
        <rFont val="WenQuanYi Zen Hei"/>
        <family val="2"/>
      </rPr>
      <t xml:space="preserve">■ 머리글에 필터가 걸려 있어 업체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설계 분야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중요도로 걸러 볼 수 있습니다</t>
    </r>
    <r>
      <rPr>
        <b val="true"/>
        <sz val="10"/>
        <rFont val="Arial"/>
        <family val="0"/>
        <charset val="1"/>
      </rPr>
      <t xml:space="preserve">.</t>
    </r>
  </si>
  <si>
    <t xml:space="preserve">■ 검토해 주실 점</t>
  </si>
  <si>
    <r>
      <rPr>
        <sz val="10"/>
        <rFont val="Arial"/>
        <family val="0"/>
        <charset val="1"/>
      </rPr>
      <t xml:space="preserve">  1) </t>
    </r>
    <r>
      <rPr>
        <sz val="10"/>
        <rFont val="WenQuanYi Zen Hei"/>
        <family val="2"/>
      </rPr>
      <t xml:space="preserve">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항목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이 빠졌거나 필요 없는 것이 있는지</t>
    </r>
  </si>
  <si>
    <r>
      <rPr>
        <sz val="10"/>
        <rFont val="Arial"/>
        <family val="0"/>
        <charset val="1"/>
      </rPr>
      <t xml:space="preserve">  2) </t>
    </r>
    <r>
      <rPr>
        <sz val="10"/>
        <rFont val="WenQuanYi Zen Hei"/>
        <family val="2"/>
      </rPr>
      <t xml:space="preserve">설계 분야 분류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임펠러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디퓨저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볼류트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베어링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모터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로터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냉각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제어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서지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시스템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기타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가 적절한지</t>
    </r>
  </si>
  <si>
    <r>
      <rPr>
        <sz val="10"/>
        <rFont val="Arial"/>
        <family val="0"/>
        <charset val="1"/>
      </rPr>
      <t xml:space="preserve">  3) </t>
    </r>
    <r>
      <rPr>
        <sz val="10"/>
        <rFont val="WenQuanYi Zen Hei"/>
        <family val="2"/>
      </rPr>
      <t xml:space="preserve">누적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파일 방식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주차별 별도 파일 방식 중 선호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</si>
</sst>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;\-0;\-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WenQuanYi Zen Hei"/>
      <family val="2"/>
    </font>
    <font>
      <b val="true"/>
      <sz val="12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name val="WenQuanYi Zen Hei"/>
      <family val="2"/>
    </font>
    <font>
      <sz val="10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i val="true"/>
      <sz val="10"/>
      <color rgb="FF7F7F7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  <font>
      <sz val="11"/>
      <color theme="1"/>
      <name val="WenQuanYi Zen Hei"/>
      <family val="2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BF8F00"/>
        <bgColor rgb="FF808000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11" min="2" style="0" width="12"/>
  </cols>
  <sheetData>
    <row r="1" customFormat="false" ht="16.4" hidden="false" customHeight="false" outlineLevel="0" collapsed="false">
      <c r="A1" s="1" t="s">
        <v>0</v>
      </c>
    </row>
    <row r="3" customFormat="false" ht="30" hidden="false" customHeight="true" outlineLevel="0" collapsed="false">
      <c r="A3" s="2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4" t="s">
        <v>10</v>
      </c>
      <c r="K3" s="4" t="s">
        <v>11</v>
      </c>
    </row>
    <row r="4" customFormat="false" ht="15" hidden="false" customHeight="false" outlineLevel="0" collapsed="false">
      <c r="A4" s="5" t="s">
        <v>12</v>
      </c>
      <c r="B4" s="6" t="n">
        <f aca="false">COUNTIFS(특허목록!$B:$B,$A4,특허목록!$J:$J,B$3)</f>
        <v>0</v>
      </c>
      <c r="C4" s="6" t="n">
        <f aca="false">COUNTIFS(특허목록!$B:$B,$A4,특허목록!$J:$J,C$3)</f>
        <v>1</v>
      </c>
      <c r="D4" s="6" t="n">
        <f aca="false">COUNTIFS(특허목록!$B:$B,$A4,특허목록!$J:$J,D$3)</f>
        <v>0</v>
      </c>
      <c r="E4" s="6" t="n">
        <f aca="false">COUNTIFS(특허목록!$B:$B,$A4,특허목록!$J:$J,E$3)</f>
        <v>0</v>
      </c>
      <c r="F4" s="6" t="n">
        <f aca="false">COUNTIFS(특허목록!$B:$B,$A4,특허목록!$J:$J,F$3)</f>
        <v>0</v>
      </c>
      <c r="G4" s="6" t="n">
        <f aca="false">COUNTIFS(특허목록!$B:$B,$A4,특허목록!$J:$J,G$3)</f>
        <v>0</v>
      </c>
      <c r="H4" s="6" t="n">
        <f aca="false">COUNTIFS(특허목록!$B:$B,$A4,특허목록!$J:$J,H$3)</f>
        <v>0</v>
      </c>
      <c r="I4" s="6" t="n">
        <f aca="false">COUNTIFS(특허목록!$B:$B,$A4,특허목록!$J:$J,I$3)</f>
        <v>0</v>
      </c>
      <c r="J4" s="7" t="n">
        <f aca="false">SUM(B4:I4)</f>
        <v>1</v>
      </c>
      <c r="K4" s="7" t="n">
        <f aca="false">COUNTIFS(특허목록!$B:$B,$A4,특허목록!$N:$N,"상")</f>
        <v>1</v>
      </c>
    </row>
    <row r="5" customFormat="false" ht="15" hidden="false" customHeight="false" outlineLevel="0" collapsed="false">
      <c r="A5" s="8" t="s">
        <v>13</v>
      </c>
      <c r="B5" s="6" t="n">
        <f aca="false">COUNTIFS(특허목록!$B:$B,$A5,특허목록!$J:$J,B$3)</f>
        <v>0</v>
      </c>
      <c r="C5" s="6" t="n">
        <f aca="false">COUNTIFS(특허목록!$B:$B,$A5,특허목록!$J:$J,C$3)</f>
        <v>0</v>
      </c>
      <c r="D5" s="6" t="n">
        <f aca="false">COUNTIFS(특허목록!$B:$B,$A5,특허목록!$J:$J,D$3)</f>
        <v>0</v>
      </c>
      <c r="E5" s="6" t="n">
        <f aca="false">COUNTIFS(특허목록!$B:$B,$A5,특허목록!$J:$J,E$3)</f>
        <v>0</v>
      </c>
      <c r="F5" s="6" t="n">
        <f aca="false">COUNTIFS(특허목록!$B:$B,$A5,특허목록!$J:$J,F$3)</f>
        <v>0</v>
      </c>
      <c r="G5" s="6" t="n">
        <f aca="false">COUNTIFS(특허목록!$B:$B,$A5,특허목록!$J:$J,G$3)</f>
        <v>0</v>
      </c>
      <c r="H5" s="6" t="n">
        <f aca="false">COUNTIFS(특허목록!$B:$B,$A5,특허목록!$J:$J,H$3)</f>
        <v>0</v>
      </c>
      <c r="I5" s="6" t="n">
        <f aca="false">COUNTIFS(특허목록!$B:$B,$A5,특허목록!$J:$J,I$3)</f>
        <v>0</v>
      </c>
      <c r="J5" s="7" t="n">
        <f aca="false">SUM(B5:I5)</f>
        <v>0</v>
      </c>
      <c r="K5" s="7" t="n">
        <f aca="false">COUNTIFS(특허목록!$B:$B,$A5,특허목록!$N:$N,"상")</f>
        <v>0</v>
      </c>
    </row>
    <row r="6" customFormat="false" ht="15" hidden="false" customHeight="false" outlineLevel="0" collapsed="false">
      <c r="A6" s="8" t="s">
        <v>14</v>
      </c>
      <c r="B6" s="6" t="n">
        <f aca="false">COUNTIFS(특허목록!$B:$B,$A6,특허목록!$J:$J,B$3)</f>
        <v>0</v>
      </c>
      <c r="C6" s="6" t="n">
        <f aca="false">COUNTIFS(특허목록!$B:$B,$A6,특허목록!$J:$J,C$3)</f>
        <v>0</v>
      </c>
      <c r="D6" s="6" t="n">
        <f aca="false">COUNTIFS(특허목록!$B:$B,$A6,특허목록!$J:$J,D$3)</f>
        <v>0</v>
      </c>
      <c r="E6" s="6" t="n">
        <f aca="false">COUNTIFS(특허목록!$B:$B,$A6,특허목록!$J:$J,E$3)</f>
        <v>0</v>
      </c>
      <c r="F6" s="6" t="n">
        <f aca="false">COUNTIFS(특허목록!$B:$B,$A6,특허목록!$J:$J,F$3)</f>
        <v>0</v>
      </c>
      <c r="G6" s="6" t="n">
        <f aca="false">COUNTIFS(특허목록!$B:$B,$A6,특허목록!$J:$J,G$3)</f>
        <v>0</v>
      </c>
      <c r="H6" s="6" t="n">
        <f aca="false">COUNTIFS(특허목록!$B:$B,$A6,특허목록!$J:$J,H$3)</f>
        <v>0</v>
      </c>
      <c r="I6" s="6" t="n">
        <f aca="false">COUNTIFS(특허목록!$B:$B,$A6,특허목록!$J:$J,I$3)</f>
        <v>0</v>
      </c>
      <c r="J6" s="7" t="n">
        <f aca="false">SUM(B6:I6)</f>
        <v>0</v>
      </c>
      <c r="K6" s="7" t="n">
        <f aca="false">COUNTIFS(특허목록!$B:$B,$A6,특허목록!$N:$N,"상")</f>
        <v>0</v>
      </c>
    </row>
    <row r="7" customFormat="false" ht="15" hidden="false" customHeight="false" outlineLevel="0" collapsed="false">
      <c r="A7" s="8" t="s">
        <v>15</v>
      </c>
      <c r="B7" s="6" t="n">
        <f aca="false">COUNTIFS(특허목록!$B:$B,$A7,특허목록!$J:$J,B$3)</f>
        <v>0</v>
      </c>
      <c r="C7" s="6" t="n">
        <f aca="false">COUNTIFS(특허목록!$B:$B,$A7,특허목록!$J:$J,C$3)</f>
        <v>0</v>
      </c>
      <c r="D7" s="6" t="n">
        <f aca="false">COUNTIFS(특허목록!$B:$B,$A7,특허목록!$J:$J,D$3)</f>
        <v>0</v>
      </c>
      <c r="E7" s="6" t="n">
        <f aca="false">COUNTIFS(특허목록!$B:$B,$A7,특허목록!$J:$J,E$3)</f>
        <v>0</v>
      </c>
      <c r="F7" s="6" t="n">
        <f aca="false">COUNTIFS(특허목록!$B:$B,$A7,특허목록!$J:$J,F$3)</f>
        <v>0</v>
      </c>
      <c r="G7" s="6" t="n">
        <f aca="false">COUNTIFS(특허목록!$B:$B,$A7,특허목록!$J:$J,G$3)</f>
        <v>0</v>
      </c>
      <c r="H7" s="6" t="n">
        <f aca="false">COUNTIFS(특허목록!$B:$B,$A7,특허목록!$J:$J,H$3)</f>
        <v>0</v>
      </c>
      <c r="I7" s="6" t="n">
        <f aca="false">COUNTIFS(특허목록!$B:$B,$A7,특허목록!$J:$J,I$3)</f>
        <v>0</v>
      </c>
      <c r="J7" s="7" t="n">
        <f aca="false">SUM(B7:I7)</f>
        <v>0</v>
      </c>
      <c r="K7" s="7" t="n">
        <f aca="false">COUNTIFS(특허목록!$B:$B,$A7,특허목록!$N:$N,"상")</f>
        <v>0</v>
      </c>
    </row>
    <row r="8" customFormat="false" ht="15" hidden="false" customHeight="false" outlineLevel="0" collapsed="false">
      <c r="A8" s="8" t="s">
        <v>16</v>
      </c>
      <c r="B8" s="6" t="n">
        <f aca="false">COUNTIFS(특허목록!$B:$B,$A8,특허목록!$J:$J,B$3)</f>
        <v>0</v>
      </c>
      <c r="C8" s="6" t="n">
        <f aca="false">COUNTIFS(특허목록!$B:$B,$A8,특허목록!$J:$J,C$3)</f>
        <v>0</v>
      </c>
      <c r="D8" s="6" t="n">
        <f aca="false">COUNTIFS(특허목록!$B:$B,$A8,특허목록!$J:$J,D$3)</f>
        <v>0</v>
      </c>
      <c r="E8" s="6" t="n">
        <f aca="false">COUNTIFS(특허목록!$B:$B,$A8,특허목록!$J:$J,E$3)</f>
        <v>0</v>
      </c>
      <c r="F8" s="6" t="n">
        <f aca="false">COUNTIFS(특허목록!$B:$B,$A8,특허목록!$J:$J,F$3)</f>
        <v>0</v>
      </c>
      <c r="G8" s="6" t="n">
        <f aca="false">COUNTIFS(특허목록!$B:$B,$A8,특허목록!$J:$J,G$3)</f>
        <v>0</v>
      </c>
      <c r="H8" s="6" t="n">
        <f aca="false">COUNTIFS(특허목록!$B:$B,$A8,특허목록!$J:$J,H$3)</f>
        <v>0</v>
      </c>
      <c r="I8" s="6" t="n">
        <f aca="false">COUNTIFS(특허목록!$B:$B,$A8,특허목록!$J:$J,I$3)</f>
        <v>0</v>
      </c>
      <c r="J8" s="7" t="n">
        <f aca="false">SUM(B8:I8)</f>
        <v>0</v>
      </c>
      <c r="K8" s="7" t="n">
        <f aca="false">COUNTIFS(특허목록!$B:$B,$A8,특허목록!$N:$N,"상")</f>
        <v>0</v>
      </c>
    </row>
    <row r="9" customFormat="false" ht="15" hidden="false" customHeight="false" outlineLevel="0" collapsed="false">
      <c r="A9" s="8" t="s">
        <v>17</v>
      </c>
      <c r="B9" s="6" t="n">
        <f aca="false">COUNTIFS(특허목록!$B:$B,$A9,특허목록!$J:$J,B$3)</f>
        <v>0</v>
      </c>
      <c r="C9" s="6" t="n">
        <f aca="false">COUNTIFS(특허목록!$B:$B,$A9,특허목록!$J:$J,C$3)</f>
        <v>0</v>
      </c>
      <c r="D9" s="6" t="n">
        <f aca="false">COUNTIFS(특허목록!$B:$B,$A9,특허목록!$J:$J,D$3)</f>
        <v>0</v>
      </c>
      <c r="E9" s="6" t="n">
        <f aca="false">COUNTIFS(특허목록!$B:$B,$A9,특허목록!$J:$J,E$3)</f>
        <v>0</v>
      </c>
      <c r="F9" s="6" t="n">
        <f aca="false">COUNTIFS(특허목록!$B:$B,$A9,특허목록!$J:$J,F$3)</f>
        <v>0</v>
      </c>
      <c r="G9" s="6" t="n">
        <f aca="false">COUNTIFS(특허목록!$B:$B,$A9,특허목록!$J:$J,G$3)</f>
        <v>0</v>
      </c>
      <c r="H9" s="6" t="n">
        <f aca="false">COUNTIFS(특허목록!$B:$B,$A9,특허목록!$J:$J,H$3)</f>
        <v>0</v>
      </c>
      <c r="I9" s="6" t="n">
        <f aca="false">COUNTIFS(특허목록!$B:$B,$A9,특허목록!$J:$J,I$3)</f>
        <v>0</v>
      </c>
      <c r="J9" s="7" t="n">
        <f aca="false">SUM(B9:I9)</f>
        <v>0</v>
      </c>
      <c r="K9" s="7" t="n">
        <f aca="false">COUNTIFS(특허목록!$B:$B,$A9,특허목록!$N:$N,"상")</f>
        <v>0</v>
      </c>
    </row>
    <row r="10" customFormat="false" ht="15" hidden="false" customHeight="false" outlineLevel="0" collapsed="false">
      <c r="A10" s="8" t="s">
        <v>18</v>
      </c>
      <c r="B10" s="6" t="n">
        <f aca="false">COUNTIFS(특허목록!$B:$B,$A10,특허목록!$J:$J,B$3)</f>
        <v>0</v>
      </c>
      <c r="C10" s="6" t="n">
        <f aca="false">COUNTIFS(특허목록!$B:$B,$A10,특허목록!$J:$J,C$3)</f>
        <v>0</v>
      </c>
      <c r="D10" s="6" t="n">
        <f aca="false">COUNTIFS(특허목록!$B:$B,$A10,특허목록!$J:$J,D$3)</f>
        <v>0</v>
      </c>
      <c r="E10" s="6" t="n">
        <f aca="false">COUNTIFS(특허목록!$B:$B,$A10,특허목록!$J:$J,E$3)</f>
        <v>0</v>
      </c>
      <c r="F10" s="6" t="n">
        <f aca="false">COUNTIFS(특허목록!$B:$B,$A10,특허목록!$J:$J,F$3)</f>
        <v>0</v>
      </c>
      <c r="G10" s="6" t="n">
        <f aca="false">COUNTIFS(특허목록!$B:$B,$A10,특허목록!$J:$J,G$3)</f>
        <v>0</v>
      </c>
      <c r="H10" s="6" t="n">
        <f aca="false">COUNTIFS(특허목록!$B:$B,$A10,특허목록!$J:$J,H$3)</f>
        <v>0</v>
      </c>
      <c r="I10" s="6" t="n">
        <f aca="false">COUNTIFS(특허목록!$B:$B,$A10,특허목록!$J:$J,I$3)</f>
        <v>0</v>
      </c>
      <c r="J10" s="7" t="n">
        <f aca="false">SUM(B10:I10)</f>
        <v>0</v>
      </c>
      <c r="K10" s="7" t="n">
        <f aca="false">COUNTIFS(특허목록!$B:$B,$A10,특허목록!$N:$N,"상")</f>
        <v>0</v>
      </c>
    </row>
    <row r="11" customFormat="false" ht="15" hidden="false" customHeight="false" outlineLevel="0" collapsed="false">
      <c r="A11" s="8" t="s">
        <v>9</v>
      </c>
      <c r="B11" s="6" t="n">
        <f aca="false">COUNTIFS(특허목록!$B:$B,$A11,특허목록!$J:$J,B$3)</f>
        <v>0</v>
      </c>
      <c r="C11" s="6" t="n">
        <f aca="false">COUNTIFS(특허목록!$B:$B,$A11,특허목록!$J:$J,C$3)</f>
        <v>0</v>
      </c>
      <c r="D11" s="6" t="n">
        <f aca="false">COUNTIFS(특허목록!$B:$B,$A11,특허목록!$J:$J,D$3)</f>
        <v>0</v>
      </c>
      <c r="E11" s="6" t="n">
        <f aca="false">COUNTIFS(특허목록!$B:$B,$A11,특허목록!$J:$J,E$3)</f>
        <v>0</v>
      </c>
      <c r="F11" s="6" t="n">
        <f aca="false">COUNTIFS(특허목록!$B:$B,$A11,특허목록!$J:$J,F$3)</f>
        <v>0</v>
      </c>
      <c r="G11" s="6" t="n">
        <f aca="false">COUNTIFS(특허목록!$B:$B,$A11,특허목록!$J:$J,G$3)</f>
        <v>0</v>
      </c>
      <c r="H11" s="6" t="n">
        <f aca="false">COUNTIFS(특허목록!$B:$B,$A11,특허목록!$J:$J,H$3)</f>
        <v>0</v>
      </c>
      <c r="I11" s="6" t="n">
        <f aca="false">COUNTIFS(특허목록!$B:$B,$A11,특허목록!$J:$J,I$3)</f>
        <v>0</v>
      </c>
      <c r="J11" s="7" t="n">
        <f aca="false">SUM(B11:I11)</f>
        <v>0</v>
      </c>
      <c r="K11" s="7" t="n">
        <f aca="false">COUNTIFS(특허목록!$B:$B,$A11,특허목록!$N:$N,"상")</f>
        <v>0</v>
      </c>
    </row>
    <row r="12" customFormat="false" ht="15" hidden="false" customHeight="false" outlineLevel="0" collapsed="false">
      <c r="A12" s="9" t="s">
        <v>10</v>
      </c>
      <c r="B12" s="10" t="n">
        <f aca="false">SUM(B4:B11)</f>
        <v>0</v>
      </c>
      <c r="C12" s="10" t="n">
        <f aca="false">SUM(C4:C11)</f>
        <v>1</v>
      </c>
      <c r="D12" s="10" t="n">
        <f aca="false">SUM(D4:D11)</f>
        <v>0</v>
      </c>
      <c r="E12" s="10" t="n">
        <f aca="false">SUM(E4:E11)</f>
        <v>0</v>
      </c>
      <c r="F12" s="10" t="n">
        <f aca="false">SUM(F4:F11)</f>
        <v>0</v>
      </c>
      <c r="G12" s="10" t="n">
        <f aca="false">SUM(G4:G11)</f>
        <v>0</v>
      </c>
      <c r="H12" s="10" t="n">
        <f aca="false">SUM(H4:H11)</f>
        <v>0</v>
      </c>
      <c r="I12" s="10" t="n">
        <f aca="false">SUM(I4:I11)</f>
        <v>0</v>
      </c>
      <c r="J12" s="10" t="n">
        <f aca="false">SUM(J4:J11)</f>
        <v>1</v>
      </c>
      <c r="K12" s="10" t="n">
        <f aca="false">SUM(K4:K11)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7"/>
    <col collapsed="false" customWidth="true" hidden="false" outlineLevel="0" max="5" min="5" style="0" width="18"/>
    <col collapsed="false" customWidth="true" hidden="false" outlineLevel="0" max="6" min="6" style="0" width="8"/>
    <col collapsed="false" customWidth="true" hidden="false" outlineLevel="0" max="7" min="7" style="0" width="34"/>
    <col collapsed="false" customWidth="true" hidden="false" outlineLevel="0" max="9" min="8" style="0" width="11"/>
    <col collapsed="false" customWidth="true" hidden="false" outlineLevel="0" max="10" min="10" style="0" width="14"/>
    <col collapsed="false" customWidth="true" hidden="false" outlineLevel="0" max="11" min="11" style="0" width="12"/>
    <col collapsed="false" customWidth="true" hidden="false" outlineLevel="0" max="12" min="12" style="0" width="50"/>
    <col collapsed="false" customWidth="true" hidden="false" outlineLevel="0" max="13" min="13" style="0" width="30"/>
    <col collapsed="false" customWidth="true" hidden="false" outlineLevel="0" max="14" min="14" style="0" width="8"/>
    <col collapsed="false" customWidth="true" hidden="false" outlineLevel="0" max="15" min="15" style="0" width="30"/>
  </cols>
  <sheetData>
    <row r="1" customFormat="false" ht="30" hidden="false" customHeight="true" outlineLevel="0" collapsed="false">
      <c r="A1" s="11" t="s">
        <v>19</v>
      </c>
      <c r="B1" s="11" t="s">
        <v>1</v>
      </c>
      <c r="C1" s="11" t="s">
        <v>20</v>
      </c>
      <c r="D1" s="11" t="s">
        <v>21</v>
      </c>
      <c r="E1" s="11" t="s">
        <v>22</v>
      </c>
      <c r="F1" s="11" t="s">
        <v>23</v>
      </c>
      <c r="G1" s="11" t="s">
        <v>24</v>
      </c>
      <c r="H1" s="11" t="s">
        <v>25</v>
      </c>
      <c r="I1" s="11" t="s">
        <v>26</v>
      </c>
      <c r="J1" s="11" t="s">
        <v>27</v>
      </c>
      <c r="K1" s="11" t="s">
        <v>28</v>
      </c>
      <c r="L1" s="11" t="s">
        <v>29</v>
      </c>
      <c r="M1" s="11" t="s">
        <v>30</v>
      </c>
      <c r="N1" s="12" t="s">
        <v>31</v>
      </c>
      <c r="O1" s="12" t="s">
        <v>32</v>
      </c>
    </row>
    <row r="2" customFormat="false" ht="26.85" hidden="false" customHeight="false" outlineLevel="0" collapsed="false">
      <c r="A2" s="13" t="s">
        <v>33</v>
      </c>
      <c r="B2" s="13" t="s">
        <v>34</v>
      </c>
      <c r="C2" s="13" t="s">
        <v>35</v>
      </c>
      <c r="D2" s="13" t="s">
        <v>36</v>
      </c>
      <c r="E2" s="13" t="s">
        <v>37</v>
      </c>
      <c r="F2" s="14" t="s">
        <v>38</v>
      </c>
      <c r="G2" s="13" t="s">
        <v>39</v>
      </c>
      <c r="H2" s="13" t="s">
        <v>40</v>
      </c>
      <c r="I2" s="13" t="s">
        <v>41</v>
      </c>
      <c r="J2" s="14" t="s">
        <v>42</v>
      </c>
      <c r="K2" s="14" t="s">
        <v>43</v>
      </c>
      <c r="L2" s="13" t="s">
        <v>44</v>
      </c>
      <c r="M2" s="13" t="s">
        <v>45</v>
      </c>
      <c r="N2" s="14" t="s">
        <v>46</v>
      </c>
      <c r="O2" s="13"/>
    </row>
    <row r="3" customFormat="false" ht="15" hidden="false" customHeight="false" outlineLevel="0" collapsed="false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6"/>
      <c r="O3" s="16"/>
    </row>
    <row r="4" customFormat="false" ht="15" hidden="false" customHeight="false" outlineLevel="0" collapsed="false">
      <c r="A4" s="15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6"/>
      <c r="O4" s="16"/>
    </row>
    <row r="5" customFormat="false" ht="15" hidden="false" customHeight="false" outlineLevel="0" collapsed="false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6"/>
      <c r="O5" s="16"/>
    </row>
    <row r="6" customFormat="false" ht="15" hidden="false" customHeight="false" outlineLevel="0" collapsed="false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6"/>
      <c r="O6" s="16"/>
    </row>
    <row r="7" customFormat="false" ht="15" hidden="false" customHeight="false" outlineLevel="0" collapsed="false">
      <c r="A7" s="15"/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6"/>
      <c r="O7" s="16"/>
    </row>
    <row r="8" customFormat="false" ht="15" hidden="false" customHeight="false" outlineLevel="0" collapsed="false">
      <c r="A8" s="15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6"/>
      <c r="O8" s="16"/>
    </row>
    <row r="9" customFormat="false" ht="15" hidden="false" customHeight="false" outlineLevel="0" collapsed="false">
      <c r="A9" s="15"/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6"/>
      <c r="O9" s="16"/>
    </row>
    <row r="10" customFormat="false" ht="15" hidden="false" customHeight="false" outlineLevel="0" collapsed="false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6"/>
      <c r="O10" s="16"/>
    </row>
    <row r="11" customFormat="false" ht="15" hidden="false" customHeight="false" outlineLevel="0" collapsed="false">
      <c r="A11" s="15"/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6"/>
      <c r="O11" s="16"/>
    </row>
    <row r="12" customFormat="false" ht="15" hidden="false" customHeight="false" outlineLevel="0" collapsed="false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6"/>
      <c r="O12" s="16"/>
    </row>
    <row r="13" customFormat="false" ht="15" hidden="false" customHeight="false" outlineLevel="0" collapsed="false">
      <c r="A13" s="15"/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6"/>
      <c r="O13" s="16"/>
    </row>
    <row r="14" customFormat="false" ht="15" hidden="false" customHeight="false" outlineLevel="0" collapsed="false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6"/>
      <c r="O14" s="16"/>
    </row>
    <row r="15" customFormat="false" ht="15" hidden="false" customHeight="false" outlineLevel="0" collapsed="false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6"/>
      <c r="O15" s="16"/>
    </row>
    <row r="16" customFormat="false" ht="15" hidden="false" customHeight="false" outlineLevel="0" collapsed="false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6"/>
      <c r="O16" s="16"/>
    </row>
    <row r="17" customFormat="false" ht="15" hidden="false" customHeight="false" outlineLevel="0" collapsed="false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6"/>
      <c r="O17" s="16"/>
    </row>
    <row r="18" customFormat="false" ht="15" hidden="false" customHeight="false" outlineLevel="0" collapsed="false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6"/>
      <c r="O18" s="16"/>
    </row>
    <row r="19" customFormat="false" ht="15" hidden="false" customHeight="false" outlineLevel="0" collapsed="false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6"/>
      <c r="O19" s="16"/>
    </row>
    <row r="20" customFormat="false" ht="15" hidden="false" customHeight="false" outlineLevel="0" collapsed="false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6"/>
      <c r="O20" s="16"/>
    </row>
    <row r="21" customFormat="false" ht="15" hidden="false" customHeight="false" outlineLevel="0" collapsed="false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6"/>
      <c r="O21" s="16"/>
    </row>
    <row r="22" customFormat="false" ht="15" hidden="false" customHeight="false" outlineLevel="0" collapsed="false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6"/>
      <c r="O22" s="16"/>
    </row>
    <row r="23" customFormat="false" ht="15" hidden="false" customHeight="false" outlineLevel="0" collapsed="false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6"/>
      <c r="O23" s="16"/>
    </row>
    <row r="24" customFormat="false" ht="15" hidden="false" customHeight="false" outlineLevel="0" collapsed="false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6"/>
      <c r="O24" s="16"/>
    </row>
    <row r="25" customFormat="false" ht="15" hidden="false" customHeight="false" outlineLevel="0" collapsed="false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6"/>
      <c r="O25" s="16"/>
    </row>
    <row r="26" customFormat="false" ht="15" hidden="false" customHeight="false" outlineLevel="0" collapsed="false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6"/>
      <c r="O26" s="16"/>
    </row>
    <row r="27" customFormat="false" ht="15" hidden="false" customHeight="false" outlineLevel="0" collapsed="false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6"/>
      <c r="O27" s="16"/>
    </row>
    <row r="28" customFormat="false" ht="15" hidden="false" customHeight="false" outlineLevel="0" collapsed="false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6"/>
      <c r="O28" s="16"/>
    </row>
    <row r="29" customFormat="false" ht="15" hidden="false" customHeight="false" outlineLevel="0" collapsed="false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6"/>
      <c r="O29" s="16"/>
    </row>
    <row r="30" customFormat="false" ht="15" hidden="false" customHeight="false" outlineLevel="0" collapsed="false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6"/>
      <c r="O30" s="16"/>
    </row>
    <row r="31" customFormat="false" ht="15" hidden="false" customHeight="false" outlineLevel="0" collapsed="false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6"/>
      <c r="O31" s="16"/>
    </row>
    <row r="32" customFormat="false" ht="15" hidden="false" customHeight="false" outlineLevel="0" collapsed="false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6"/>
      <c r="O32" s="16"/>
    </row>
    <row r="33" customFormat="false" ht="15" hidden="false" customHeight="false" outlineLevel="0" collapsed="false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6"/>
      <c r="O33" s="16"/>
    </row>
    <row r="34" customFormat="false" ht="15" hidden="false" customHeight="false" outlineLevel="0" collapsed="false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6"/>
      <c r="O34" s="16"/>
    </row>
    <row r="35" customFormat="false" ht="15" hidden="false" customHeight="false" outlineLevel="0" collapsed="false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6"/>
      <c r="O35" s="16"/>
    </row>
    <row r="36" customFormat="false" ht="15" hidden="false" customHeight="false" outlineLevel="0" collapsed="false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6"/>
      <c r="O36" s="16"/>
    </row>
    <row r="37" customFormat="false" ht="15" hidden="false" customHeight="false" outlineLevel="0" collapsed="false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6"/>
      <c r="O37" s="16"/>
    </row>
    <row r="38" customFormat="false" ht="15" hidden="false" customHeight="false" outlineLevel="0" collapsed="false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6"/>
      <c r="O38" s="16"/>
    </row>
    <row r="39" customFormat="false" ht="15" hidden="false" customHeight="false" outlineLevel="0" collapsed="false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6"/>
      <c r="O39" s="16"/>
    </row>
    <row r="40" customFormat="false" ht="15" hidden="false" customHeight="false" outlineLevel="0" collapsed="false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6"/>
      <c r="O40" s="16"/>
    </row>
    <row r="41" customFormat="false" ht="15" hidden="false" customHeight="false" outlineLevel="0" collapsed="false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6"/>
      <c r="O41" s="16"/>
    </row>
    <row r="42" customFormat="false" ht="15" hidden="false" customHeight="false" outlineLevel="0" collapsed="false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6"/>
      <c r="O42" s="16"/>
    </row>
    <row r="43" customFormat="false" ht="15" hidden="false" customHeight="false" outlineLevel="0" collapsed="false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6"/>
      <c r="O43" s="16"/>
    </row>
    <row r="44" customFormat="false" ht="15" hidden="false" customHeight="false" outlineLevel="0" collapsed="false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6"/>
      <c r="O44" s="16"/>
    </row>
    <row r="45" customFormat="false" ht="15" hidden="false" customHeight="false" outlineLevel="0" collapsed="false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6"/>
      <c r="O45" s="16"/>
    </row>
    <row r="46" customFormat="false" ht="15" hidden="false" customHeight="false" outlineLevel="0" collapsed="false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6"/>
      <c r="O46" s="16"/>
    </row>
    <row r="47" customFormat="false" ht="15" hidden="false" customHeight="false" outlineLevel="0" collapsed="false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6"/>
      <c r="O47" s="16"/>
    </row>
    <row r="48" customFormat="false" ht="15" hidden="false" customHeight="false" outlineLevel="0" collapsed="false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6"/>
      <c r="O48" s="16"/>
    </row>
    <row r="49" customFormat="false" ht="15" hidden="false" customHeight="false" outlineLevel="0" collapsed="false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6"/>
      <c r="O49" s="16"/>
    </row>
    <row r="50" customFormat="false" ht="15" hidden="false" customHeight="false" outlineLevel="0" collapsed="false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6"/>
      <c r="O50" s="16"/>
    </row>
    <row r="51" customFormat="false" ht="15" hidden="false" customHeight="false" outlineLevel="0" collapsed="false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6"/>
      <c r="O51" s="16"/>
    </row>
    <row r="52" customFormat="false" ht="15" hidden="false" customHeight="false" outlineLevel="0" collapsed="false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6"/>
      <c r="O52" s="16"/>
    </row>
    <row r="53" customFormat="false" ht="15" hidden="false" customHeight="false" outlineLevel="0" collapsed="false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6"/>
      <c r="O53" s="16"/>
    </row>
    <row r="54" customFormat="false" ht="15" hidden="false" customHeight="false" outlineLevel="0" collapsed="false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6"/>
      <c r="O54" s="16"/>
    </row>
    <row r="55" customFormat="false" ht="15" hidden="false" customHeight="false" outlineLevel="0" collapsed="false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6"/>
      <c r="O55" s="16"/>
    </row>
    <row r="56" customFormat="false" ht="15" hidden="false" customHeight="false" outlineLevel="0" collapsed="false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6"/>
      <c r="O56" s="16"/>
    </row>
    <row r="57" customFormat="false" ht="15" hidden="false" customHeight="false" outlineLevel="0" collapsed="false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6"/>
      <c r="O57" s="16"/>
    </row>
    <row r="58" customFormat="false" ht="15" hidden="false" customHeight="false" outlineLevel="0" collapsed="false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6"/>
      <c r="O58" s="16"/>
    </row>
    <row r="59" customFormat="false" ht="15" hidden="false" customHeight="false" outlineLevel="0" collapsed="false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6"/>
      <c r="O59" s="16"/>
    </row>
    <row r="60" customFormat="false" ht="15" hidden="false" customHeight="false" outlineLevel="0" collapsed="false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6"/>
      <c r="O60" s="16"/>
    </row>
    <row r="61" customFormat="false" ht="15" hidden="false" customHeight="false" outlineLevel="0" collapsed="false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6"/>
      <c r="O61" s="16"/>
    </row>
    <row r="62" customFormat="false" ht="15" hidden="false" customHeight="false" outlineLevel="0" collapsed="false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6"/>
      <c r="O62" s="16"/>
    </row>
    <row r="63" customFormat="false" ht="15" hidden="false" customHeight="false" outlineLevel="0" collapsed="false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6"/>
      <c r="O63" s="16"/>
    </row>
    <row r="64" customFormat="false" ht="15" hidden="false" customHeight="false" outlineLevel="0" collapsed="false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6"/>
      <c r="O64" s="16"/>
    </row>
    <row r="65" customFormat="false" ht="15" hidden="false" customHeight="false" outlineLevel="0" collapsed="false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6"/>
      <c r="O65" s="16"/>
    </row>
    <row r="66" customFormat="false" ht="15" hidden="false" customHeight="false" outlineLevel="0" collapsed="false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6"/>
      <c r="O66" s="16"/>
    </row>
    <row r="67" customFormat="false" ht="15" hidden="false" customHeight="false" outlineLevel="0" collapsed="false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6"/>
      <c r="O67" s="16"/>
    </row>
    <row r="68" customFormat="false" ht="15" hidden="false" customHeight="false" outlineLevel="0" collapsed="false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6"/>
      <c r="O68" s="16"/>
    </row>
    <row r="69" customFormat="false" ht="15" hidden="false" customHeight="false" outlineLevel="0" collapsed="false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6"/>
      <c r="O69" s="16"/>
    </row>
    <row r="70" customFormat="false" ht="15" hidden="false" customHeight="false" outlineLevel="0" collapsed="false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6"/>
      <c r="O70" s="16"/>
    </row>
    <row r="71" customFormat="false" ht="15" hidden="false" customHeight="false" outlineLevel="0" collapsed="false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6"/>
      <c r="O71" s="16"/>
    </row>
    <row r="72" customFormat="false" ht="15" hidden="false" customHeight="false" outlineLevel="0" collapsed="false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6"/>
      <c r="O72" s="16"/>
    </row>
    <row r="73" customFormat="false" ht="15" hidden="false" customHeight="false" outlineLevel="0" collapsed="false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6"/>
      <c r="O73" s="16"/>
    </row>
    <row r="74" customFormat="false" ht="15" hidden="false" customHeight="false" outlineLevel="0" collapsed="false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6"/>
      <c r="O74" s="16"/>
    </row>
    <row r="75" customFormat="false" ht="15" hidden="false" customHeight="false" outlineLevel="0" collapsed="false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6"/>
      <c r="O75" s="16"/>
    </row>
    <row r="76" customFormat="false" ht="15" hidden="false" customHeight="false" outlineLevel="0" collapsed="false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6"/>
      <c r="O76" s="16"/>
    </row>
    <row r="77" customFormat="false" ht="15" hidden="false" customHeight="false" outlineLevel="0" collapsed="false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6"/>
      <c r="O77" s="16"/>
    </row>
    <row r="78" customFormat="false" ht="15" hidden="false" customHeight="false" outlineLevel="0" collapsed="false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6"/>
      <c r="O78" s="16"/>
    </row>
    <row r="79" customFormat="false" ht="15" hidden="false" customHeight="false" outlineLevel="0" collapsed="false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6"/>
      <c r="O79" s="16"/>
    </row>
    <row r="80" customFormat="false" ht="15" hidden="false" customHeight="false" outlineLevel="0" collapsed="false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6"/>
      <c r="O80" s="16"/>
    </row>
    <row r="81" customFormat="false" ht="15" hidden="false" customHeight="false" outlineLevel="0" collapsed="false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6"/>
      <c r="O81" s="16"/>
    </row>
    <row r="82" customFormat="false" ht="15" hidden="false" customHeight="false" outlineLevel="0" collapsed="false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6"/>
      <c r="O82" s="16"/>
    </row>
    <row r="83" customFormat="false" ht="15" hidden="false" customHeight="false" outlineLevel="0" collapsed="false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6"/>
      <c r="O83" s="16"/>
    </row>
    <row r="84" customFormat="false" ht="15" hidden="false" customHeight="false" outlineLevel="0" collapsed="false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6"/>
      <c r="O84" s="16"/>
    </row>
    <row r="85" customFormat="false" ht="15" hidden="false" customHeight="false" outlineLevel="0" collapsed="false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6"/>
      <c r="O85" s="16"/>
    </row>
    <row r="86" customFormat="false" ht="15" hidden="false" customHeight="false" outlineLevel="0" collapsed="false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6"/>
      <c r="O86" s="16"/>
    </row>
    <row r="87" customFormat="false" ht="15" hidden="false" customHeight="false" outlineLevel="0" collapsed="false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6"/>
      <c r="O87" s="16"/>
    </row>
    <row r="88" customFormat="false" ht="15" hidden="false" customHeight="false" outlineLevel="0" collapsed="false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6"/>
      <c r="O88" s="16"/>
    </row>
    <row r="89" customFormat="false" ht="15" hidden="false" customHeight="false" outlineLevel="0" collapsed="false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6"/>
      <c r="O89" s="16"/>
    </row>
    <row r="90" customFormat="false" ht="15" hidden="false" customHeight="false" outlineLevel="0" collapsed="false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6"/>
      <c r="O90" s="16"/>
    </row>
    <row r="91" customFormat="false" ht="15" hidden="false" customHeight="false" outlineLevel="0" collapsed="false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6"/>
      <c r="O91" s="16"/>
    </row>
    <row r="92" customFormat="false" ht="15" hidden="false" customHeight="false" outlineLevel="0" collapsed="false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6"/>
      <c r="O92" s="16"/>
    </row>
    <row r="93" customFormat="false" ht="15" hidden="false" customHeight="false" outlineLevel="0" collapsed="false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6"/>
      <c r="O93" s="16"/>
    </row>
    <row r="94" customFormat="false" ht="15" hidden="false" customHeight="false" outlineLevel="0" collapsed="false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6"/>
      <c r="O94" s="16"/>
    </row>
    <row r="95" customFormat="false" ht="15" hidden="false" customHeight="false" outlineLevel="0" collapsed="false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6"/>
      <c r="O95" s="16"/>
    </row>
    <row r="96" customFormat="false" ht="15" hidden="false" customHeight="false" outlineLevel="0" collapsed="false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6"/>
      <c r="O96" s="16"/>
    </row>
    <row r="97" customFormat="false" ht="15" hidden="false" customHeight="false" outlineLevel="0" collapsed="false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6"/>
      <c r="O97" s="16"/>
    </row>
    <row r="98" customFormat="false" ht="15" hidden="false" customHeight="false" outlineLevel="0" collapsed="false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6"/>
      <c r="O98" s="16"/>
    </row>
    <row r="99" customFormat="false" ht="15" hidden="false" customHeight="false" outlineLevel="0" collapsed="false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6"/>
      <c r="O99" s="16"/>
    </row>
    <row r="100" customFormat="false" ht="15" hidden="false" customHeight="false" outlineLevel="0" collapsed="false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6"/>
      <c r="O100" s="16"/>
    </row>
    <row r="101" customFormat="false" ht="15" hidden="false" customHeight="false" outlineLevel="0" collapsed="false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6"/>
      <c r="O101" s="16"/>
    </row>
    <row r="102" customFormat="false" ht="15" hidden="false" customHeight="false" outlineLevel="0" collapsed="false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6"/>
      <c r="O102" s="16"/>
    </row>
    <row r="103" customFormat="false" ht="15" hidden="false" customHeight="false" outlineLevel="0" collapsed="false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6"/>
      <c r="O103" s="16"/>
    </row>
    <row r="104" customFormat="false" ht="15" hidden="false" customHeight="false" outlineLevel="0" collapsed="false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6"/>
      <c r="O104" s="16"/>
    </row>
    <row r="105" customFormat="false" ht="15" hidden="false" customHeight="false" outlineLevel="0" collapsed="false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6"/>
      <c r="O105" s="16"/>
    </row>
    <row r="106" customFormat="false" ht="15" hidden="false" customHeight="false" outlineLevel="0" collapsed="false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6"/>
      <c r="O106" s="16"/>
    </row>
    <row r="107" customFormat="false" ht="15" hidden="false" customHeight="false" outlineLevel="0" collapsed="false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6"/>
      <c r="O107" s="16"/>
    </row>
    <row r="108" customFormat="false" ht="15" hidden="false" customHeight="false" outlineLevel="0" collapsed="false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6"/>
      <c r="O108" s="16"/>
    </row>
    <row r="109" customFormat="false" ht="15" hidden="false" customHeight="false" outlineLevel="0" collapsed="false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6"/>
      <c r="O109" s="16"/>
    </row>
    <row r="110" customFormat="false" ht="15" hidden="false" customHeight="false" outlineLevel="0" collapsed="false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6"/>
      <c r="O110" s="16"/>
    </row>
    <row r="111" customFormat="false" ht="15" hidden="false" customHeight="false" outlineLevel="0" collapsed="false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6"/>
      <c r="O111" s="16"/>
    </row>
    <row r="112" customFormat="false" ht="15" hidden="false" customHeight="false" outlineLevel="0" collapsed="false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6"/>
      <c r="O112" s="16"/>
    </row>
    <row r="113" customFormat="false" ht="15" hidden="false" customHeight="false" outlineLevel="0" collapsed="false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6"/>
      <c r="O113" s="16"/>
    </row>
    <row r="114" customFormat="false" ht="15" hidden="false" customHeight="false" outlineLevel="0" collapsed="false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6"/>
      <c r="O114" s="16"/>
    </row>
    <row r="115" customFormat="false" ht="15" hidden="false" customHeight="false" outlineLevel="0" collapsed="false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6"/>
      <c r="O115" s="16"/>
    </row>
    <row r="116" customFormat="false" ht="15" hidden="false" customHeight="false" outlineLevel="0" collapsed="false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6"/>
      <c r="O116" s="16"/>
    </row>
    <row r="117" customFormat="false" ht="15" hidden="false" customHeight="false" outlineLevel="0" collapsed="false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6"/>
      <c r="O117" s="16"/>
    </row>
    <row r="118" customFormat="false" ht="15" hidden="false" customHeight="false" outlineLevel="0" collapsed="false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6"/>
      <c r="O118" s="16"/>
    </row>
    <row r="119" customFormat="false" ht="15" hidden="false" customHeight="false" outlineLevel="0" collapsed="false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6"/>
      <c r="O119" s="16"/>
    </row>
    <row r="120" customFormat="false" ht="15" hidden="false" customHeight="false" outlineLevel="0" collapsed="false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6"/>
      <c r="O120" s="16"/>
    </row>
    <row r="121" customFormat="false" ht="15" hidden="false" customHeight="false" outlineLevel="0" collapsed="false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6"/>
      <c r="O121" s="16"/>
    </row>
    <row r="122" customFormat="false" ht="15" hidden="false" customHeight="false" outlineLevel="0" collapsed="false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6"/>
      <c r="O122" s="16"/>
    </row>
    <row r="123" customFormat="false" ht="15" hidden="false" customHeight="false" outlineLevel="0" collapsed="false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6"/>
      <c r="O123" s="16"/>
    </row>
    <row r="124" customFormat="false" ht="15" hidden="false" customHeight="false" outlineLevel="0" collapsed="false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6"/>
      <c r="O124" s="16"/>
    </row>
    <row r="125" customFormat="false" ht="15" hidden="false" customHeight="false" outlineLevel="0" collapsed="false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6"/>
      <c r="O125" s="16"/>
    </row>
    <row r="126" customFormat="false" ht="15" hidden="false" customHeight="false" outlineLevel="0" collapsed="false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6"/>
      <c r="O126" s="16"/>
    </row>
    <row r="127" customFormat="false" ht="15" hidden="false" customHeight="false" outlineLevel="0" collapsed="false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6"/>
      <c r="O127" s="16"/>
    </row>
    <row r="128" customFormat="false" ht="15" hidden="false" customHeight="false" outlineLevel="0" collapsed="false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6"/>
      <c r="O128" s="16"/>
    </row>
    <row r="129" customFormat="false" ht="15" hidden="false" customHeight="false" outlineLevel="0" collapsed="false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6"/>
      <c r="O129" s="16"/>
    </row>
    <row r="130" customFormat="false" ht="15" hidden="false" customHeight="false" outlineLevel="0" collapsed="false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6"/>
      <c r="O130" s="16"/>
    </row>
    <row r="131" customFormat="false" ht="15" hidden="false" customHeight="false" outlineLevel="0" collapsed="false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6"/>
      <c r="O131" s="16"/>
    </row>
    <row r="132" customFormat="false" ht="15" hidden="false" customHeight="false" outlineLevel="0" collapsed="false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6"/>
      <c r="O132" s="16"/>
    </row>
    <row r="133" customFormat="false" ht="15" hidden="false" customHeight="false" outlineLevel="0" collapsed="false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6"/>
      <c r="O133" s="16"/>
    </row>
    <row r="134" customFormat="false" ht="15" hidden="false" customHeight="false" outlineLevel="0" collapsed="false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6"/>
      <c r="O134" s="16"/>
    </row>
    <row r="135" customFormat="false" ht="15" hidden="false" customHeight="false" outlineLevel="0" collapsed="false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6"/>
      <c r="O135" s="16"/>
    </row>
    <row r="136" customFormat="false" ht="15" hidden="false" customHeight="false" outlineLevel="0" collapsed="false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6"/>
      <c r="O136" s="16"/>
    </row>
    <row r="137" customFormat="false" ht="15" hidden="false" customHeight="false" outlineLevel="0" collapsed="false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6"/>
      <c r="O137" s="16"/>
    </row>
    <row r="138" customFormat="false" ht="15" hidden="false" customHeight="false" outlineLevel="0" collapsed="false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6"/>
      <c r="O138" s="16"/>
    </row>
    <row r="139" customFormat="false" ht="15" hidden="false" customHeight="false" outlineLevel="0" collapsed="false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6"/>
      <c r="O139" s="16"/>
    </row>
    <row r="140" customFormat="false" ht="15" hidden="false" customHeight="false" outlineLevel="0" collapsed="false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6"/>
      <c r="O140" s="16"/>
    </row>
    <row r="141" customFormat="false" ht="15" hidden="false" customHeight="false" outlineLevel="0" collapsed="false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6"/>
      <c r="O141" s="16"/>
    </row>
    <row r="142" customFormat="false" ht="15" hidden="false" customHeight="false" outlineLevel="0" collapsed="false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6"/>
      <c r="O142" s="16"/>
    </row>
    <row r="143" customFormat="false" ht="15" hidden="false" customHeight="false" outlineLevel="0" collapsed="false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6"/>
      <c r="O143" s="16"/>
    </row>
    <row r="144" customFormat="false" ht="15" hidden="false" customHeight="false" outlineLevel="0" collapsed="false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6"/>
      <c r="O144" s="16"/>
    </row>
    <row r="145" customFormat="false" ht="15" hidden="false" customHeight="false" outlineLevel="0" collapsed="false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6"/>
      <c r="O145" s="16"/>
    </row>
    <row r="146" customFormat="false" ht="15" hidden="false" customHeight="false" outlineLevel="0" collapsed="false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6"/>
      <c r="O146" s="16"/>
    </row>
    <row r="147" customFormat="false" ht="15" hidden="false" customHeight="false" outlineLevel="0" collapsed="false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6"/>
      <c r="O147" s="16"/>
    </row>
    <row r="148" customFormat="false" ht="15" hidden="false" customHeight="false" outlineLevel="0" collapsed="false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6"/>
      <c r="O148" s="16"/>
    </row>
    <row r="149" customFormat="false" ht="15" hidden="false" customHeight="false" outlineLevel="0" collapsed="false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6"/>
      <c r="O149" s="16"/>
    </row>
    <row r="150" customFormat="false" ht="15" hidden="false" customHeight="false" outlineLevel="0" collapsed="false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6"/>
      <c r="O150" s="16"/>
    </row>
    <row r="151" customFormat="false" ht="15" hidden="false" customHeight="false" outlineLevel="0" collapsed="false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6"/>
      <c r="O151" s="16"/>
    </row>
    <row r="152" customFormat="false" ht="15" hidden="false" customHeight="false" outlineLevel="0" collapsed="false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6"/>
      <c r="O152" s="16"/>
    </row>
    <row r="153" customFormat="false" ht="15" hidden="false" customHeight="false" outlineLevel="0" collapsed="false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6"/>
      <c r="O153" s="16"/>
    </row>
    <row r="154" customFormat="false" ht="15" hidden="false" customHeight="false" outlineLevel="0" collapsed="false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6"/>
      <c r="O154" s="16"/>
    </row>
    <row r="155" customFormat="false" ht="15" hidden="false" customHeight="false" outlineLevel="0" collapsed="false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6"/>
      <c r="O155" s="16"/>
    </row>
    <row r="156" customFormat="false" ht="15" hidden="false" customHeight="false" outlineLevel="0" collapsed="false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6"/>
      <c r="O156" s="16"/>
    </row>
    <row r="157" customFormat="false" ht="15" hidden="false" customHeight="false" outlineLevel="0" collapsed="false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6"/>
      <c r="O157" s="16"/>
    </row>
    <row r="158" customFormat="false" ht="15" hidden="false" customHeight="false" outlineLevel="0" collapsed="false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6"/>
      <c r="O158" s="16"/>
    </row>
    <row r="159" customFormat="false" ht="15" hidden="false" customHeight="false" outlineLevel="0" collapsed="false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6"/>
      <c r="O159" s="16"/>
    </row>
    <row r="160" customFormat="false" ht="15" hidden="false" customHeight="false" outlineLevel="0" collapsed="false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6"/>
      <c r="O160" s="16"/>
    </row>
    <row r="161" customFormat="false" ht="15" hidden="false" customHeight="false" outlineLevel="0" collapsed="false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6"/>
      <c r="O161" s="16"/>
    </row>
    <row r="162" customFormat="false" ht="15" hidden="false" customHeight="false" outlineLevel="0" collapsed="false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6"/>
      <c r="O162" s="16"/>
    </row>
    <row r="163" customFormat="false" ht="15" hidden="false" customHeight="false" outlineLevel="0" collapsed="false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6"/>
      <c r="O163" s="16"/>
    </row>
    <row r="164" customFormat="false" ht="15" hidden="false" customHeight="false" outlineLevel="0" collapsed="false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6"/>
      <c r="O164" s="16"/>
    </row>
    <row r="165" customFormat="false" ht="15" hidden="false" customHeight="false" outlineLevel="0" collapsed="false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6"/>
      <c r="O165" s="16"/>
    </row>
    <row r="166" customFormat="false" ht="15" hidden="false" customHeight="false" outlineLevel="0" collapsed="false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6"/>
      <c r="O166" s="16"/>
    </row>
    <row r="167" customFormat="false" ht="15" hidden="false" customHeight="false" outlineLevel="0" collapsed="false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6"/>
      <c r="O167" s="16"/>
    </row>
    <row r="168" customFormat="false" ht="15" hidden="false" customHeight="false" outlineLevel="0" collapsed="false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6"/>
      <c r="O168" s="16"/>
    </row>
    <row r="169" customFormat="false" ht="15" hidden="false" customHeight="false" outlineLevel="0" collapsed="false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6"/>
      <c r="O169" s="16"/>
    </row>
    <row r="170" customFormat="false" ht="15" hidden="false" customHeight="false" outlineLevel="0" collapsed="false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6"/>
      <c r="O170" s="16"/>
    </row>
    <row r="171" customFormat="false" ht="15" hidden="false" customHeight="false" outlineLevel="0" collapsed="false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6"/>
      <c r="O171" s="16"/>
    </row>
    <row r="172" customFormat="false" ht="15" hidden="false" customHeight="false" outlineLevel="0" collapsed="false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6"/>
      <c r="O172" s="16"/>
    </row>
    <row r="173" customFormat="false" ht="15" hidden="false" customHeight="false" outlineLevel="0" collapsed="false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6"/>
      <c r="O173" s="16"/>
    </row>
    <row r="174" customFormat="false" ht="15" hidden="false" customHeight="false" outlineLevel="0" collapsed="false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6"/>
      <c r="O174" s="16"/>
    </row>
    <row r="175" customFormat="false" ht="15" hidden="false" customHeight="false" outlineLevel="0" collapsed="false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6"/>
      <c r="O175" s="16"/>
    </row>
    <row r="176" customFormat="false" ht="15" hidden="false" customHeight="false" outlineLevel="0" collapsed="false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6"/>
      <c r="O176" s="16"/>
    </row>
    <row r="177" customFormat="false" ht="15" hidden="false" customHeight="false" outlineLevel="0" collapsed="false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6"/>
      <c r="O177" s="16"/>
    </row>
    <row r="178" customFormat="false" ht="15" hidden="false" customHeight="false" outlineLevel="0" collapsed="false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6"/>
      <c r="O178" s="16"/>
    </row>
    <row r="179" customFormat="false" ht="15" hidden="false" customHeight="false" outlineLevel="0" collapsed="false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6"/>
      <c r="O179" s="16"/>
    </row>
    <row r="180" customFormat="false" ht="15" hidden="false" customHeight="false" outlineLevel="0" collapsed="false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6"/>
      <c r="O180" s="16"/>
    </row>
    <row r="181" customFormat="false" ht="15" hidden="false" customHeight="false" outlineLevel="0" collapsed="false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6"/>
      <c r="O181" s="16"/>
    </row>
    <row r="182" customFormat="false" ht="15" hidden="false" customHeight="false" outlineLevel="0" collapsed="false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6"/>
      <c r="O182" s="16"/>
    </row>
    <row r="183" customFormat="false" ht="15" hidden="false" customHeight="false" outlineLevel="0" collapsed="false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6"/>
      <c r="O183" s="16"/>
    </row>
    <row r="184" customFormat="false" ht="15" hidden="false" customHeight="false" outlineLevel="0" collapsed="false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6"/>
      <c r="O184" s="16"/>
    </row>
    <row r="185" customFormat="false" ht="15" hidden="false" customHeight="false" outlineLevel="0" collapsed="false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6"/>
      <c r="O185" s="16"/>
    </row>
    <row r="186" customFormat="false" ht="15" hidden="false" customHeight="false" outlineLevel="0" collapsed="false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6"/>
      <c r="O186" s="16"/>
    </row>
    <row r="187" customFormat="false" ht="15" hidden="false" customHeight="false" outlineLevel="0" collapsed="false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6"/>
      <c r="O187" s="16"/>
    </row>
    <row r="188" customFormat="false" ht="15" hidden="false" customHeight="false" outlineLevel="0" collapsed="false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6"/>
      <c r="O188" s="16"/>
    </row>
    <row r="189" customFormat="false" ht="15" hidden="false" customHeight="false" outlineLevel="0" collapsed="false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6"/>
      <c r="O189" s="16"/>
    </row>
    <row r="190" customFormat="false" ht="15" hidden="false" customHeight="false" outlineLevel="0" collapsed="false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6"/>
      <c r="O190" s="16"/>
    </row>
    <row r="191" customFormat="false" ht="15" hidden="false" customHeight="false" outlineLevel="0" collapsed="false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6"/>
      <c r="O191" s="16"/>
    </row>
    <row r="192" customFormat="false" ht="15" hidden="false" customHeight="false" outlineLevel="0" collapsed="false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6"/>
      <c r="O192" s="16"/>
    </row>
    <row r="193" customFormat="false" ht="15" hidden="false" customHeight="false" outlineLevel="0" collapsed="false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6"/>
      <c r="O193" s="16"/>
    </row>
    <row r="194" customFormat="false" ht="15" hidden="false" customHeight="false" outlineLevel="0" collapsed="false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6"/>
      <c r="O194" s="16"/>
    </row>
    <row r="195" customFormat="false" ht="15" hidden="false" customHeight="false" outlineLevel="0" collapsed="false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6"/>
      <c r="O195" s="16"/>
    </row>
    <row r="196" customFormat="false" ht="15" hidden="false" customHeight="false" outlineLevel="0" collapsed="false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6"/>
      <c r="O196" s="16"/>
    </row>
    <row r="197" customFormat="false" ht="15" hidden="false" customHeight="false" outlineLevel="0" collapsed="false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6"/>
      <c r="O197" s="16"/>
    </row>
    <row r="198" customFormat="false" ht="15" hidden="false" customHeight="false" outlineLevel="0" collapsed="false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6"/>
      <c r="O198" s="16"/>
    </row>
    <row r="199" customFormat="false" ht="15" hidden="false" customHeight="false" outlineLevel="0" collapsed="false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6"/>
      <c r="O199" s="16"/>
    </row>
    <row r="200" customFormat="false" ht="15" hidden="false" customHeight="false" outlineLevel="0" collapsed="false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6"/>
      <c r="O200" s="16"/>
    </row>
    <row r="201" customFormat="false" ht="15" hidden="false" customHeight="false" outlineLevel="0" collapsed="false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6"/>
      <c r="O201" s="16"/>
    </row>
    <row r="202" customFormat="false" ht="15" hidden="false" customHeight="false" outlineLevel="0" collapsed="false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6"/>
      <c r="O202" s="16"/>
    </row>
  </sheetData>
  <autoFilter ref="A1:O202"/>
  <dataValidations count="6">
    <dataValidation allowBlank="true" errorStyle="stop" operator="between" showDropDown="false" showErrorMessage="false" showInputMessage="false" sqref="B2:B202" type="list">
      <formula1>목록!$A$1:$A$8</formula1>
      <formula2>0</formula2>
    </dataValidation>
    <dataValidation allowBlank="true" errorStyle="stop" operator="between" showDropDown="false" showErrorMessage="false" showInputMessage="false" sqref="J2:J202" type="list">
      <formula1>목록!$B$1:$B$8</formula1>
      <formula2>0</formula2>
    </dataValidation>
    <dataValidation allowBlank="true" errorStyle="stop" operator="between" showDropDown="false" showErrorMessage="false" showInputMessage="false" sqref="N2:N202" type="list">
      <formula1>목록!$C$1:$C$3</formula1>
      <formula2>0</formula2>
    </dataValidation>
    <dataValidation allowBlank="true" errorStyle="stop" operator="between" showDropDown="false" showErrorMessage="false" showInputMessage="false" sqref="F2:F202" type="list">
      <formula1>목록!$D$1:$D$2</formula1>
      <formula2>0</formula2>
    </dataValidation>
    <dataValidation allowBlank="true" errorStyle="stop" operator="between" showDropDown="false" showErrorMessage="false" showInputMessage="false" sqref="K2:K202" type="list">
      <formula1>목록!$E$1:$E$5</formula1>
      <formula2>0</formula2>
    </dataValidation>
    <dataValidation allowBlank="true" errorStyle="stop" operator="between" showDropDown="false" showErrorMessage="false" showInputMessage="false" sqref="D2:D202" type="list">
      <formula1>목록!$F$1:$F$8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47</v>
      </c>
      <c r="B1" s="17" t="s">
        <v>2</v>
      </c>
      <c r="C1" s="17" t="s">
        <v>46</v>
      </c>
      <c r="D1" s="17" t="s">
        <v>38</v>
      </c>
      <c r="E1" s="17" t="s">
        <v>48</v>
      </c>
      <c r="F1" s="0" t="s">
        <v>36</v>
      </c>
    </row>
    <row r="2" customFormat="false" ht="15" hidden="false" customHeight="false" outlineLevel="0" collapsed="false">
      <c r="A2" s="17" t="s">
        <v>13</v>
      </c>
      <c r="B2" s="17" t="s">
        <v>49</v>
      </c>
      <c r="C2" s="17" t="s">
        <v>50</v>
      </c>
      <c r="D2" s="17" t="s">
        <v>51</v>
      </c>
      <c r="E2" s="17" t="s">
        <v>52</v>
      </c>
      <c r="F2" s="0" t="s">
        <v>53</v>
      </c>
    </row>
    <row r="3" customFormat="false" ht="15" hidden="false" customHeight="false" outlineLevel="0" collapsed="false">
      <c r="A3" s="17" t="s">
        <v>14</v>
      </c>
      <c r="B3" s="17" t="s">
        <v>4</v>
      </c>
      <c r="C3" s="17" t="s">
        <v>54</v>
      </c>
      <c r="E3" s="17" t="s">
        <v>55</v>
      </c>
      <c r="F3" s="0" t="s">
        <v>56</v>
      </c>
    </row>
    <row r="4" customFormat="false" ht="15" hidden="false" customHeight="false" outlineLevel="0" collapsed="false">
      <c r="A4" s="17" t="s">
        <v>15</v>
      </c>
      <c r="B4" s="17" t="s">
        <v>57</v>
      </c>
      <c r="E4" s="17" t="s">
        <v>58</v>
      </c>
      <c r="F4" s="0" t="s">
        <v>59</v>
      </c>
    </row>
    <row r="5" customFormat="false" ht="15" hidden="false" customHeight="false" outlineLevel="0" collapsed="false">
      <c r="A5" s="17" t="s">
        <v>16</v>
      </c>
      <c r="B5" s="17" t="s">
        <v>6</v>
      </c>
      <c r="E5" s="17" t="s">
        <v>9</v>
      </c>
      <c r="F5" s="0" t="s">
        <v>60</v>
      </c>
    </row>
    <row r="6" customFormat="false" ht="15" hidden="false" customHeight="false" outlineLevel="0" collapsed="false">
      <c r="A6" s="17" t="s">
        <v>17</v>
      </c>
      <c r="B6" s="17" t="s">
        <v>61</v>
      </c>
      <c r="F6" s="0" t="s">
        <v>62</v>
      </c>
    </row>
    <row r="7" customFormat="false" ht="15" hidden="false" customHeight="false" outlineLevel="0" collapsed="false">
      <c r="A7" s="17" t="s">
        <v>18</v>
      </c>
      <c r="B7" s="17" t="s">
        <v>8</v>
      </c>
      <c r="F7" s="0" t="s">
        <v>63</v>
      </c>
    </row>
    <row r="8" customFormat="false" ht="15" hidden="false" customHeight="false" outlineLevel="0" collapsed="false">
      <c r="A8" s="17" t="s">
        <v>9</v>
      </c>
      <c r="B8" s="17" t="s">
        <v>9</v>
      </c>
      <c r="F8" s="17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6.4" hidden="false" customHeight="false" outlineLevel="0" collapsed="false">
      <c r="A1" s="1" t="s">
        <v>64</v>
      </c>
    </row>
    <row r="2" customFormat="false" ht="15" hidden="false" customHeight="false" outlineLevel="0" collapsed="false">
      <c r="A2" s="18"/>
    </row>
    <row r="3" customFormat="false" ht="15" hidden="false" customHeight="false" outlineLevel="0" collapsed="false">
      <c r="A3" s="19" t="s">
        <v>65</v>
      </c>
    </row>
    <row r="4" customFormat="false" ht="14.15" hidden="false" customHeight="false" outlineLevel="0" collapsed="false">
      <c r="A4" s="18" t="s">
        <v>66</v>
      </c>
    </row>
    <row r="5" customFormat="false" ht="14.15" hidden="false" customHeight="false" outlineLevel="0" collapsed="false">
      <c r="A5" s="18" t="s">
        <v>67</v>
      </c>
    </row>
    <row r="6" customFormat="false" ht="15" hidden="false" customHeight="false" outlineLevel="0" collapsed="false">
      <c r="A6" s="18"/>
    </row>
    <row r="7" customFormat="false" ht="15" hidden="false" customHeight="false" outlineLevel="0" collapsed="false">
      <c r="A7" s="19" t="s">
        <v>68</v>
      </c>
    </row>
    <row r="8" customFormat="false" ht="14.15" hidden="false" customHeight="false" outlineLevel="0" collapsed="false">
      <c r="A8" s="18" t="s">
        <v>69</v>
      </c>
    </row>
    <row r="9" customFormat="false" ht="14.15" hidden="false" customHeight="false" outlineLevel="0" collapsed="false">
      <c r="A9" s="18" t="s">
        <v>70</v>
      </c>
    </row>
    <row r="10" customFormat="false" ht="15" hidden="false" customHeight="false" outlineLevel="0" collapsed="false">
      <c r="A10" s="18"/>
    </row>
    <row r="11" customFormat="false" ht="14.15" hidden="false" customHeight="false" outlineLevel="0" collapsed="false">
      <c r="A11" s="20" t="s">
        <v>71</v>
      </c>
    </row>
    <row r="12" customFormat="false" ht="15" hidden="false" customHeight="false" outlineLevel="0" collapsed="false">
      <c r="A12" s="18"/>
    </row>
    <row r="13" customFormat="false" ht="14.15" hidden="false" customHeight="false" outlineLevel="0" collapsed="false">
      <c r="A13" s="19" t="s">
        <v>72</v>
      </c>
    </row>
    <row r="14" customFormat="false" ht="14.15" hidden="false" customHeight="false" outlineLevel="0" collapsed="false">
      <c r="A14" s="19" t="s">
        <v>73</v>
      </c>
    </row>
    <row r="15" customFormat="false" ht="15" hidden="false" customHeight="false" outlineLevel="0" collapsed="false">
      <c r="A15" s="18"/>
    </row>
    <row r="16" customFormat="false" ht="15" hidden="false" customHeight="false" outlineLevel="0" collapsed="false">
      <c r="A16" s="19" t="s">
        <v>74</v>
      </c>
    </row>
    <row r="17" customFormat="false" ht="14.15" hidden="false" customHeight="false" outlineLevel="0" collapsed="false">
      <c r="A17" s="18" t="s">
        <v>75</v>
      </c>
    </row>
    <row r="18" customFormat="false" ht="14.15" hidden="false" customHeight="false" outlineLevel="0" collapsed="false">
      <c r="A18" s="18" t="s">
        <v>76</v>
      </c>
    </row>
    <row r="19" customFormat="false" ht="14.15" hidden="false" customHeight="false" outlineLevel="0" collapsed="false">
      <c r="A19" s="18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2026-10-26T12:16:37Z</dcterms:created>
  <dc:creator>openpyxl</dc:creator>
  <dc:description/>
  <dc:language>en-US</dc:language>
  <cp:lastModifiedBy/>
  <dcterms:modified xsi:type="dcterms:W3CDTF">2026-10-26T12:16:38Z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